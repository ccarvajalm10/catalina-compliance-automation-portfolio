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omments2.xml" ContentType="application/vnd.openxmlformats-officedocument.spreadsheetml.comments+xml"/>
  <Override PartName="/xl/charts/chart4.xml" ContentType="application/vnd.openxmlformats-officedocument.drawingml.chart+xml"/>
  <Override PartName="/xl/drawings/drawing5.xml" ContentType="application/vnd.openxmlformats-officedocument.drawing+xml"/>
  <Override PartName="/xl/comments3.xml" ContentType="application/vnd.openxmlformats-officedocument.spreadsheetml.comments+xml"/>
  <Override PartName="/xl/charts/chart5.xml" ContentType="application/vnd.openxmlformats-officedocument.drawingml.chart+xml"/>
  <Override PartName="/xl/drawings/drawing6.xml" ContentType="application/vnd.openxmlformats-officedocument.drawing+xml"/>
  <Override PartName="/xl/comments4.xml" ContentType="application/vnd.openxmlformats-officedocument.spreadsheetml.comments+xml"/>
  <Override PartName="/xl/charts/chart6.xml" ContentType="application/vnd.openxmlformats-officedocument.drawingml.chart+xml"/>
  <Override PartName="/xl/drawings/drawing7.xml" ContentType="application/vnd.openxmlformats-officedocument.drawing+xml"/>
  <Override PartName="/xl/charts/chart7.xml" ContentType="application/vnd.openxmlformats-officedocument.drawingml.chart+xml"/>
  <Override PartName="/xl/drawings/drawing8.xml" ContentType="application/vnd.openxmlformats-officedocument.drawing+xml"/>
  <Override PartName="/xl/charts/chart8.xml" ContentType="application/vnd.openxmlformats-officedocument.drawingml.chart+xml"/>
  <Override PartName="/xl/drawings/drawing9.xml" ContentType="application/vnd.openxmlformats-officedocument.drawing+xml"/>
  <Override PartName="/xl/charts/chart9.xml" ContentType="application/vnd.openxmlformats-officedocument.drawingml.chart+xml"/>
  <Override PartName="/xl/drawings/drawing10.xml" ContentType="application/vnd.openxmlformats-officedocument.drawing+xml"/>
  <Override PartName="/xl/charts/chart10.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1.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24226"/>
  <mc:AlternateContent xmlns:mc="http://schemas.openxmlformats.org/markup-compatibility/2006">
    <mc:Choice Requires="x15">
      <x15ac:absPath xmlns:x15ac="http://schemas.microsoft.com/office/spreadsheetml/2010/11/ac" url="https://vaxthera2025-my.sharepoint.com/personal/danarvaez_vaxthera_com/Documents/Dang/Normatividad/SL/"/>
    </mc:Choice>
  </mc:AlternateContent>
  <xr:revisionPtr revIDLastSave="0" documentId="8_{172DF3F6-7FB9-49E1-A2D5-F9707E3DE74F}" xr6:coauthVersionLast="47" xr6:coauthVersionMax="47" xr10:uidLastSave="{00000000-0000-0000-0000-000000000000}"/>
  <bookViews>
    <workbookView xWindow="-120" yWindow="-120" windowWidth="20730" windowHeight="11040" firstSheet="9" activeTab="10" xr2:uid="{EFE61A76-53B0-4740-8CE6-6D75DBE0B597}"/>
  </bookViews>
  <sheets>
    <sheet name="Plan_seguridad" sheetId="14" state="hidden" r:id="rId1"/>
    <sheet name="Introducción" sheetId="11" r:id="rId2"/>
    <sheet name="4 CONTEXTO" sheetId="2" r:id="rId3"/>
    <sheet name="5 LIDERAZGO" sheetId="1" r:id="rId4"/>
    <sheet name="6 PLANIFICACIÓN" sheetId="3" r:id="rId5"/>
    <sheet name="7 SOPORTE" sheetId="4" r:id="rId6"/>
    <sheet name="8 OPERACIÓN" sheetId="5" r:id="rId7"/>
    <sheet name="RESUMEN CONSOLIDADO" sheetId="9" r:id="rId8"/>
    <sheet name="9 EVALUACIÓN DESEMPEÑO" sheetId="6" r:id="rId9"/>
    <sheet name="10 MEJORA" sheetId="7" r:id="rId10"/>
    <sheet name="Anexo A" sheetId="15" r:id="rId11"/>
    <sheet name="RESUMEN POR CAPÍTULO" sheetId="8" r:id="rId12"/>
    <sheet name="PLAN DE ACCIÓN" sheetId="10" r:id="rId13"/>
  </sheets>
  <definedNames>
    <definedName name="_xlnm._FilterDatabase" localSheetId="10" hidden="1">'Anexo A'!$B$2:$L$105</definedName>
    <definedName name="_xlnm.Print_Area" localSheetId="9">'10 MEJORA'!$B$3:$H$17</definedName>
    <definedName name="_xlnm.Print_Area" localSheetId="2">'4 CONTEXTO'!$A$1:$J$48</definedName>
    <definedName name="_xlnm.Print_Area" localSheetId="3">'5 LIDERAZGO'!$A$1:$J$60</definedName>
    <definedName name="_xlnm.Print_Area" localSheetId="4">'6 PLANIFICACIÓN'!$A$1:$J$77</definedName>
    <definedName name="_xlnm.Print_Area" localSheetId="5">'7 SOPORTE'!$B$3:$H$54</definedName>
    <definedName name="_xlnm.Print_Area" localSheetId="6">'8 OPERACIÓN'!$B$3:$H$31</definedName>
    <definedName name="_xlnm.Print_Area" localSheetId="8">'9 EVALUACIÓN DESEMPEÑO'!$B$3:$H$47</definedName>
    <definedName name="_xlnm.Print_Titles" localSheetId="2">'4 CONTEXTO'!$1:$3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1" i="15" l="1"/>
  <c r="D112" i="15"/>
  <c r="D113" i="15"/>
  <c r="I42" i="15"/>
  <c r="H42" i="15"/>
  <c r="G42" i="15"/>
  <c r="I68" i="15"/>
  <c r="H68" i="15"/>
  <c r="G68" i="15"/>
  <c r="I104" i="15"/>
  <c r="H104" i="15"/>
  <c r="G104" i="15"/>
  <c r="F104" i="15"/>
  <c r="F68" i="15"/>
  <c r="I52" i="15"/>
  <c r="H52" i="15"/>
  <c r="G52" i="15"/>
  <c r="F52" i="15"/>
  <c r="B113" i="15"/>
  <c r="B112" i="15"/>
  <c r="B111" i="15"/>
  <c r="B110" i="15"/>
  <c r="F42" i="15"/>
  <c r="D17" i="7"/>
  <c r="B58" i="4"/>
  <c r="F26" i="6"/>
  <c r="E26" i="6"/>
  <c r="D26" i="6"/>
  <c r="D13" i="6"/>
  <c r="D4" i="6" s="1"/>
  <c r="C51" i="6" s="1"/>
  <c r="E13" i="6"/>
  <c r="F13" i="6"/>
  <c r="B22" i="7"/>
  <c r="B21" i="7"/>
  <c r="F6" i="7"/>
  <c r="F47" i="6"/>
  <c r="E47" i="6"/>
  <c r="D47" i="6"/>
  <c r="F43" i="6"/>
  <c r="E43" i="6"/>
  <c r="D43" i="6"/>
  <c r="D31" i="6" s="1"/>
  <c r="F30" i="6"/>
  <c r="E30" i="6"/>
  <c r="D28" i="6" s="1"/>
  <c r="D30" i="6"/>
  <c r="F19" i="6"/>
  <c r="D15" i="6" s="1"/>
  <c r="D14" i="6" s="1"/>
  <c r="C52" i="6" s="1"/>
  <c r="E19" i="6"/>
  <c r="D19" i="6"/>
  <c r="G7" i="9"/>
  <c r="D52" i="3"/>
  <c r="D50" i="3" s="1"/>
  <c r="C57" i="3" s="1"/>
  <c r="E52" i="3"/>
  <c r="E17" i="7"/>
  <c r="F17" i="7"/>
  <c r="B53" i="6"/>
  <c r="B52" i="6"/>
  <c r="B51" i="6"/>
  <c r="B62" i="4"/>
  <c r="B61" i="4"/>
  <c r="B60" i="4"/>
  <c r="B59" i="4"/>
  <c r="F55" i="4"/>
  <c r="E55" i="4"/>
  <c r="D55" i="4"/>
  <c r="D45" i="4" s="1"/>
  <c r="F38" i="4"/>
  <c r="E38" i="4"/>
  <c r="D38" i="4"/>
  <c r="D34" i="4" s="1"/>
  <c r="F24" i="4"/>
  <c r="F52" i="3"/>
  <c r="D33" i="3"/>
  <c r="D23" i="3" s="1"/>
  <c r="E33" i="3"/>
  <c r="F33" i="3"/>
  <c r="F25" i="1"/>
  <c r="D16" i="1"/>
  <c r="C35" i="1" s="1"/>
  <c r="E25" i="1"/>
  <c r="D25" i="1"/>
  <c r="D49" i="3"/>
  <c r="D34" i="3" s="1"/>
  <c r="C56" i="3" s="1"/>
  <c r="E49" i="3"/>
  <c r="F49" i="3"/>
  <c r="D22" i="3"/>
  <c r="E22" i="3"/>
  <c r="F22" i="3"/>
  <c r="D14" i="3"/>
  <c r="D44" i="4"/>
  <c r="D39" i="4" s="1"/>
  <c r="F44" i="4"/>
  <c r="E44" i="4"/>
  <c r="D32" i="4"/>
  <c r="D18" i="4"/>
  <c r="F18" i="4"/>
  <c r="D11" i="4"/>
  <c r="C59" i="4" s="1"/>
  <c r="E18" i="4"/>
  <c r="C31" i="1"/>
  <c r="D31" i="1"/>
  <c r="E31" i="1"/>
  <c r="F31" i="1"/>
  <c r="D26" i="1" s="1"/>
  <c r="C36" i="1" s="1"/>
  <c r="C25" i="1"/>
  <c r="C15" i="1"/>
  <c r="F12" i="2"/>
  <c r="E12" i="2"/>
  <c r="D12" i="2"/>
  <c r="D7" i="2"/>
  <c r="C28" i="2" s="1"/>
  <c r="A34" i="10"/>
  <c r="A33" i="10"/>
  <c r="A32" i="10"/>
  <c r="A31" i="10"/>
  <c r="A30" i="10"/>
  <c r="A29" i="10"/>
  <c r="A28" i="10"/>
  <c r="A27" i="10"/>
  <c r="A26" i="10"/>
  <c r="A24" i="10"/>
  <c r="A25" i="10"/>
  <c r="A23" i="10"/>
  <c r="A22" i="10"/>
  <c r="A21" i="10"/>
  <c r="A20" i="10"/>
  <c r="A19" i="10"/>
  <c r="A18" i="10"/>
  <c r="A17" i="10"/>
  <c r="A16" i="10"/>
  <c r="A15" i="10"/>
  <c r="A14" i="10"/>
  <c r="A13" i="10"/>
  <c r="A12" i="10"/>
  <c r="A11" i="10"/>
  <c r="A10" i="10"/>
  <c r="A6" i="10"/>
  <c r="A5" i="10"/>
  <c r="A4" i="10"/>
  <c r="A3" i="10"/>
  <c r="O7" i="7"/>
  <c r="F18" i="5"/>
  <c r="D15" i="5" s="1"/>
  <c r="C24" i="5" s="1"/>
  <c r="E18" i="5"/>
  <c r="D18" i="5"/>
  <c r="F32" i="4"/>
  <c r="E32" i="4"/>
  <c r="D25" i="4" s="1"/>
  <c r="C61" i="4" s="1"/>
  <c r="F13" i="3"/>
  <c r="E13" i="3"/>
  <c r="D13" i="3"/>
  <c r="D5" i="3" s="1"/>
  <c r="D4" i="3" s="1"/>
  <c r="C55" i="3" s="1"/>
  <c r="C58" i="3" s="1"/>
  <c r="G6" i="9" s="1"/>
  <c r="E20" i="2"/>
  <c r="D6" i="7"/>
  <c r="D4" i="7" s="1"/>
  <c r="E6" i="7"/>
  <c r="D9" i="5"/>
  <c r="E9" i="5"/>
  <c r="F9" i="5"/>
  <c r="D14" i="5"/>
  <c r="E14" i="5"/>
  <c r="D10" i="5" s="1"/>
  <c r="C23" i="5" s="1"/>
  <c r="F14" i="5"/>
  <c r="D10" i="4"/>
  <c r="D4" i="4" s="1"/>
  <c r="C58" i="4" s="1"/>
  <c r="E10" i="4"/>
  <c r="F10" i="4"/>
  <c r="D15" i="1"/>
  <c r="D4" i="1" s="1"/>
  <c r="C34" i="1" s="1"/>
  <c r="C37" i="1" s="1"/>
  <c r="G5" i="9" s="1"/>
  <c r="E15" i="1"/>
  <c r="F15" i="1"/>
  <c r="D6" i="2"/>
  <c r="E6" i="2"/>
  <c r="D4" i="2" s="1"/>
  <c r="F6" i="2"/>
  <c r="D20" i="2"/>
  <c r="D13" i="2"/>
  <c r="C29" i="2" s="1"/>
  <c r="F20" i="2"/>
  <c r="D23" i="2"/>
  <c r="E23" i="2"/>
  <c r="D21" i="2" s="1"/>
  <c r="C30" i="2" s="1"/>
  <c r="F23" i="2"/>
  <c r="D4" i="5"/>
  <c r="C22" i="5" s="1"/>
  <c r="C25" i="5" s="1"/>
  <c r="G8" i="9" s="1"/>
  <c r="P6" i="7"/>
  <c r="D7" i="7"/>
  <c r="C22" i="7" s="1"/>
  <c r="D20" i="6"/>
  <c r="D44" i="6"/>
  <c r="G4" i="15" l="1"/>
  <c r="D110" i="15" s="1"/>
  <c r="G53" i="15"/>
  <c r="G43" i="15"/>
  <c r="G69" i="15"/>
  <c r="D33" i="4"/>
  <c r="C62" i="4" s="1"/>
  <c r="P7" i="7"/>
  <c r="C21" i="7"/>
  <c r="C23" i="7" s="1"/>
  <c r="G10" i="9" s="1"/>
  <c r="G4" i="9"/>
  <c r="C27" i="2"/>
  <c r="C31" i="2" s="1"/>
  <c r="D27" i="6"/>
  <c r="C53" i="6" s="1"/>
  <c r="C54" i="6" s="1"/>
  <c r="G9" i="9" s="1"/>
  <c r="P5" i="7"/>
  <c r="D118" i="15" l="1"/>
  <c r="D120" i="15"/>
  <c r="D119" i="15"/>
  <c r="D121" i="15"/>
  <c r="D122" i="15" s="1"/>
  <c r="D114" i="15"/>
  <c r="G11" i="9" s="1"/>
  <c r="G12" i="9" s="1"/>
  <c r="H11" i="9"/>
  <c r="E24" i="4" l="1"/>
  <c r="D24" i="4"/>
  <c r="D19" i="4"/>
  <c r="C6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Project Support</author>
  </authors>
  <commentList>
    <comment ref="C9" authorId="0" shapeId="0" xr:uid="{CA9DEA06-D845-4E68-8243-503DF2C7D436}">
      <text>
        <r>
          <rPr>
            <b/>
            <sz val="9"/>
            <color indexed="81"/>
            <rFont val="Tahoma"/>
            <family val="2"/>
          </rPr>
          <t>Project Support:</t>
        </r>
        <r>
          <rPr>
            <sz val="9"/>
            <color indexed="81"/>
            <rFont val="Tahoma"/>
            <family val="2"/>
          </rPr>
          <t xml:space="preserve">
Esta actividad debe validarse teniendo en cuenta la gestion de riesgos transversales y los avances de las mesas de trabajo llideradas por CIG para los temas de etiquetado de información</t>
        </r>
      </text>
    </comment>
    <comment ref="C10" authorId="0" shapeId="0" xr:uid="{B5587A29-004F-4525-BBB9-CF92E072A7D1}">
      <text>
        <r>
          <rPr>
            <b/>
            <sz val="9"/>
            <color indexed="81"/>
            <rFont val="Tahoma"/>
            <family val="2"/>
          </rPr>
          <t>Project Support:</t>
        </r>
        <r>
          <rPr>
            <sz val="9"/>
            <color indexed="81"/>
            <rFont val="Tahoma"/>
            <family val="2"/>
          </rPr>
          <t xml:space="preserve">
Esta actividad debe validarse teniendo en cuenta la gestion de riesgos transversales y los avances de las mesas de trabajo llideradas por CIG para los temas de etiquetado de información</t>
        </r>
      </text>
    </comment>
    <comment ref="C12" authorId="0" shapeId="0" xr:uid="{285148D6-2287-4B5D-81F6-86BEB191B32B}">
      <text>
        <r>
          <rPr>
            <b/>
            <sz val="9"/>
            <color indexed="81"/>
            <rFont val="Tahoma"/>
            <family val="2"/>
          </rPr>
          <t>Project Support:</t>
        </r>
        <r>
          <rPr>
            <sz val="9"/>
            <color indexed="81"/>
            <rFont val="Tahoma"/>
            <family val="2"/>
          </rPr>
          <t xml:space="preserve">
Esta actividad debe validarse teniendo en cuenta la gestion de riesgos transversales y los avances de las mesas de trabajo llideradas por CIG para los temas de etiquetado de información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Project Support</author>
  </authors>
  <commentList>
    <comment ref="B4" authorId="0" shapeId="0" xr:uid="{47DF94BD-5EE4-4944-AB17-C67D0154B9E7}">
      <text>
        <r>
          <rPr>
            <b/>
            <sz val="9"/>
            <color indexed="81"/>
            <rFont val="Tahoma"/>
            <family val="2"/>
          </rPr>
          <t>Project :</t>
        </r>
        <r>
          <rPr>
            <sz val="9"/>
            <color indexed="81"/>
            <rFont val="Tahoma"/>
            <family val="2"/>
          </rPr>
          <t xml:space="preserve">
Recomendaciones de Seguridad DAPRE 2021 - Cultura ítem 6</t>
        </r>
      </text>
    </comment>
    <comment ref="B55" authorId="0" shapeId="0" xr:uid="{A5B98984-FABE-4980-BC02-A113AC2F7C8E}">
      <text>
        <r>
          <rPr>
            <b/>
            <sz val="9"/>
            <color indexed="81"/>
            <rFont val="Tahoma"/>
            <family val="2"/>
          </rPr>
          <t>Project :</t>
        </r>
        <r>
          <rPr>
            <sz val="9"/>
            <color indexed="81"/>
            <rFont val="Tahoma"/>
            <family val="2"/>
          </rPr>
          <t xml:space="preserve">
Recomendaciones de Seguridad DAPRE 2021 - Cultura ítem 6</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Project Support</author>
  </authors>
  <commentList>
    <comment ref="B11" authorId="0" shapeId="0" xr:uid="{0D814BD5-A9E6-4BA5-9472-287C3F74AD91}">
      <text>
        <r>
          <rPr>
            <b/>
            <sz val="9"/>
            <color indexed="81"/>
            <rFont val="Tahoma"/>
            <family val="2"/>
          </rPr>
          <t>Project :</t>
        </r>
        <r>
          <rPr>
            <sz val="9"/>
            <color indexed="81"/>
            <rFont val="Tahoma"/>
            <family val="2"/>
          </rPr>
          <t xml:space="preserve">
Recomendaciones de Seguridad DAPRE ítem 4</t>
        </r>
      </text>
    </comment>
    <comment ref="B25" authorId="0" shapeId="0" xr:uid="{FCD093C2-C435-45E0-8BC1-3187E7C5E318}">
      <text>
        <r>
          <rPr>
            <b/>
            <sz val="9"/>
            <color indexed="81"/>
            <rFont val="Tahoma"/>
            <family val="2"/>
          </rPr>
          <t>Project Support:</t>
        </r>
        <r>
          <rPr>
            <sz val="9"/>
            <color indexed="81"/>
            <rFont val="Tahoma"/>
            <family val="2"/>
          </rPr>
          <t xml:space="preserve">
Recomendaciones de Seguridad DAPRE ítem 4 y de cultura ítem 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Project Support</author>
  </authors>
  <commentList>
    <comment ref="B10" authorId="0" shapeId="0" xr:uid="{FACB6C75-6875-452B-891B-8295633D6174}">
      <text>
        <r>
          <rPr>
            <b/>
            <sz val="9"/>
            <color indexed="81"/>
            <rFont val="Tahoma"/>
            <family val="2"/>
          </rPr>
          <t>Project Support:</t>
        </r>
        <r>
          <rPr>
            <sz val="9"/>
            <color indexed="81"/>
            <rFont val="Tahoma"/>
            <family val="2"/>
          </rPr>
          <t xml:space="preserve">
Recomendaciones de Seguridad DAPRE 2021 - Cultura ítem 6</t>
        </r>
      </text>
    </comment>
    <comment ref="B15" authorId="0" shapeId="0" xr:uid="{CDED36DC-17A6-45EE-A403-CA9C4C941758}">
      <text>
        <r>
          <rPr>
            <b/>
            <sz val="9"/>
            <color indexed="81"/>
            <rFont val="Tahoma"/>
            <family val="2"/>
          </rPr>
          <t>Project Support:</t>
        </r>
        <r>
          <rPr>
            <sz val="9"/>
            <color indexed="81"/>
            <rFont val="Tahoma"/>
            <family val="2"/>
          </rPr>
          <t xml:space="preserve">
Recomendaciones de Seguridad DAPRE 2021 - Cultura ítem 6</t>
        </r>
      </text>
    </comment>
  </commentList>
</comments>
</file>

<file path=xl/sharedStrings.xml><?xml version="1.0" encoding="utf-8"?>
<sst xmlns="http://schemas.openxmlformats.org/spreadsheetml/2006/main" count="1593" uniqueCount="896">
  <si>
    <t>PLAN DE TRABAJO SEGURIDAD Y PRIVACIDAD DE LA INFORMACIÓN - 2024</t>
  </si>
  <si>
    <t>Tema</t>
  </si>
  <si>
    <t xml:space="preserve">Actividades </t>
  </si>
  <si>
    <t xml:space="preserve">Tareas </t>
  </si>
  <si>
    <t xml:space="preserve">Responsable </t>
  </si>
  <si>
    <t xml:space="preserve">Fechas Programación Tareas
Vigencia 2021 </t>
  </si>
  <si>
    <t>Fechas Programación Tareas
Vigencia 2022</t>
  </si>
  <si>
    <t>Fecha Inicio</t>
  </si>
  <si>
    <t xml:space="preserve">Fecha Final </t>
  </si>
  <si>
    <t xml:space="preserve">Planeación </t>
  </si>
  <si>
    <t xml:space="preserve">Revisión Manual Políticas de Seguridad de la Información </t>
  </si>
  <si>
    <t>Actualizar y aprobar el Manual del Sistema de Gestión de Seguridad de la Información.</t>
  </si>
  <si>
    <t>Mesa de Seguridad
Comité Institucional de Gestión y Desempeño</t>
  </si>
  <si>
    <t>Julio</t>
  </si>
  <si>
    <t>Septiembre</t>
  </si>
  <si>
    <t xml:space="preserve">Gobierno Digital </t>
  </si>
  <si>
    <t xml:space="preserve">Adopción Gobierno Digital  </t>
  </si>
  <si>
    <t>Actualizar el Modelo de Seguridad y Privacidad de la Información - MSPI.</t>
  </si>
  <si>
    <t>Oficina de Tecnologías de la Información</t>
  </si>
  <si>
    <t>Abril</t>
  </si>
  <si>
    <t>Junio</t>
  </si>
  <si>
    <t xml:space="preserve">Revisar y alinear la documentación del SGSI de la Entidad al MSPI, de acuerdo con la Normatividad vigente. </t>
  </si>
  <si>
    <t xml:space="preserve">Activos de Información </t>
  </si>
  <si>
    <t>Definir lineamientos para el levantamiento de activos de información</t>
  </si>
  <si>
    <t>Actualización de metodología e instrumento de levantamiento de activos de información.</t>
  </si>
  <si>
    <t>Oficina Asesora de Planeación</t>
  </si>
  <si>
    <t xml:space="preserve">Febrero </t>
  </si>
  <si>
    <t xml:space="preserve">Mayo </t>
  </si>
  <si>
    <t>No aplica</t>
  </si>
  <si>
    <t xml:space="preserve">Levantamiento Activos de Información </t>
  </si>
  <si>
    <t xml:space="preserve">Socializar el instructivo de actualización de activos de Información. </t>
  </si>
  <si>
    <t xml:space="preserve">Identificar nuevos activos de información y/o modificar los actuales en cada dependencia. </t>
  </si>
  <si>
    <t>Enlace de cada proceso y Oficina Asesora de Planeación</t>
  </si>
  <si>
    <t xml:space="preserve">Publicación de Activos de Información </t>
  </si>
  <si>
    <t xml:space="preserve">Consolidar la matriz de activos de Información. </t>
  </si>
  <si>
    <t xml:space="preserve">Validar y aceptar los activos de información para su publicación en la página web institucional </t>
  </si>
  <si>
    <t xml:space="preserve"> Oficina Asesora de Planeación</t>
  </si>
  <si>
    <t>Diciembre</t>
  </si>
  <si>
    <t xml:space="preserve">Publicación en www.datos.gov.co </t>
  </si>
  <si>
    <t xml:space="preserve">Publicación de instrumentos de información pública </t>
  </si>
  <si>
    <t>Publicar los instrumentos de registro de activos de información, indice de información clasificada y reservada y esquema de publicación</t>
  </si>
  <si>
    <t>Oficina Asesora de Planeación
Oficina de Tecnologías de la Información</t>
  </si>
  <si>
    <t xml:space="preserve">Protección de datos personales  </t>
  </si>
  <si>
    <t xml:space="preserve">Registro y actualización de las bases de datos </t>
  </si>
  <si>
    <t>Registrar o actualizar las bases de datos teniendo en cuenta la información suministrada por los responsables y el levantamiento de activos de información de acuerdo con los lineamientos de la Superintendencia de Industria y Comercio.</t>
  </si>
  <si>
    <t>Marzo (adicional cambios sustanciales)</t>
  </si>
  <si>
    <t xml:space="preserve">Gestión de Riesgos </t>
  </si>
  <si>
    <t xml:space="preserve">Actualización de lineamientos de riesgos </t>
  </si>
  <si>
    <t>Actualizar manual de gestión de riesgos.</t>
  </si>
  <si>
    <t xml:space="preserve">Agosto </t>
  </si>
  <si>
    <t xml:space="preserve">Sensibilización </t>
  </si>
  <si>
    <t>Socialización Manual Gestión del riesgo</t>
  </si>
  <si>
    <t>Octubre</t>
  </si>
  <si>
    <t xml:space="preserve">Octubre </t>
  </si>
  <si>
    <t xml:space="preserve">Identificación de Riesgos de Seguridad y Privacidad de la Información, Seguridad Digital y continuidad de la Operación </t>
  </si>
  <si>
    <t xml:space="preserve">Identificación, Análisis y Evaluación de Riesgos - Seguridad y Privacidad de la Información, Seguridad Digital y Continuidad de la Operación.  </t>
  </si>
  <si>
    <t>Líderes de proceso
Oficina Asesora de Planeación</t>
  </si>
  <si>
    <t xml:space="preserve">Enero </t>
  </si>
  <si>
    <t>Marzo</t>
  </si>
  <si>
    <t>Realimentación, revisión y verificación de los riesgos identificados (Ajustes).</t>
  </si>
  <si>
    <t>Líderes de proceso
Oficina Asesora de Planeación
Control Interno de Gestión</t>
  </si>
  <si>
    <t xml:space="preserve">Aceptación de Riesgos Identificados </t>
  </si>
  <si>
    <t xml:space="preserve">Aceptación, aprobación riesgos identificados y planes de tratamiento </t>
  </si>
  <si>
    <t xml:space="preserve">Comité Institucional de Corodinación de Control Interno </t>
  </si>
  <si>
    <t xml:space="preserve">Publicación </t>
  </si>
  <si>
    <t>Mapas de riesgos institucional - SIGER</t>
  </si>
  <si>
    <t>Ejecución plan de tratamiento de riesgos</t>
  </si>
  <si>
    <t xml:space="preserve">Seguimiento Estado planes de tratamiento de riesgos identificados y verificación de evidencias </t>
  </si>
  <si>
    <t>Responsables por proceso
Oficina Asesora de Planeación
Control Interno de Gestión</t>
  </si>
  <si>
    <t xml:space="preserve">Mejoramiento </t>
  </si>
  <si>
    <t>Identificación de oportunidades de mejora acorde a los resultados obtenidos durante la evaluación de riesgos inherentes</t>
  </si>
  <si>
    <t>Enero</t>
  </si>
  <si>
    <t xml:space="preserve">Monitoreo y Revisión  </t>
  </si>
  <si>
    <t>Generación, presentación y reporte de indicadores.</t>
  </si>
  <si>
    <t xml:space="preserve">Gestión de 
Incidentes de 
Seguridad de la 
Información 
</t>
  </si>
  <si>
    <t xml:space="preserve">Publicar y Socializar el procedimiento actualizado de incidentes de seguridad de la información  </t>
  </si>
  <si>
    <t>Revisión, actualización y publicación del procedimiento de incidentes de seguridad de la información.</t>
  </si>
  <si>
    <t xml:space="preserve">Abril </t>
  </si>
  <si>
    <t>Socializar el procedimiento a los especialistas de la OTI, soporte en sitio y mesa de servicios.</t>
  </si>
  <si>
    <t xml:space="preserve">Socializar el procedimiento a los empleados públicos y contratistas de la Entidad. </t>
  </si>
  <si>
    <t>Gestión de incidentes de seguridad</t>
  </si>
  <si>
    <t xml:space="preserve">Implementar el procedimiento de incidentes de seguridad de la información.  </t>
  </si>
  <si>
    <t>Mayo</t>
  </si>
  <si>
    <t xml:space="preserve">Gestión boletines CSIRT </t>
  </si>
  <si>
    <t>Atender las recomendaciones mensuales emitidas por los centros de respuesta de atención a incidentes.</t>
  </si>
  <si>
    <t xml:space="preserve">Eventos/vulnerabilidades </t>
  </si>
  <si>
    <t>Realizar seguimiento a los informes de eventos y vulnerabilidades.</t>
  </si>
  <si>
    <t xml:space="preserve">Vulnerabilidades  </t>
  </si>
  <si>
    <t>Realizar de análisis de vulnerabilidades</t>
  </si>
  <si>
    <t xml:space="preserve">Análisis de vulnerabilidades acuerdo al alcance y la metodología establecida. </t>
  </si>
  <si>
    <t>Realizar de análisis de Ethical Hacking</t>
  </si>
  <si>
    <t xml:space="preserve">Análisis Ethical Hacking de acuerdo al alcance y la metodología establecida. </t>
  </si>
  <si>
    <t>Noviembre</t>
  </si>
  <si>
    <t xml:space="preserve">Ejecutar el plan de remediación  </t>
  </si>
  <si>
    <t>Ejecutar el plan de remediación sobre los sistemas y plataforma de acuerdo con los resultados del análisis de vulnerabilidades y Ethical Hacking.</t>
  </si>
  <si>
    <t>Concienciación en seguridad y privacidad de la información</t>
  </si>
  <si>
    <t>Estrategia uso y apropiación de TI</t>
  </si>
  <si>
    <t>Actualización de la estrategia de uso y apropiación de TI.</t>
  </si>
  <si>
    <t>Ejecución de la estrategia de uso y apropiación de TI.</t>
  </si>
  <si>
    <t>Oficina Asesora de Comunicaciones
Oficina de Tecnologías de la Información</t>
  </si>
  <si>
    <t xml:space="preserve">Plan de Continuidad del Negocio </t>
  </si>
  <si>
    <t xml:space="preserve">Documentación del Análisis de Impacto de la Operación </t>
  </si>
  <si>
    <t>Elaboración Análisis de Impacto del Negocio.</t>
  </si>
  <si>
    <t>Subdirección Administrativa</t>
  </si>
  <si>
    <t>Definir con la Subdirección</t>
  </si>
  <si>
    <t>Publicación del Análisis de Impacto del Negocio.</t>
  </si>
  <si>
    <t xml:space="preserve">Documentación de Valoración de Riesgos de Interrupción </t>
  </si>
  <si>
    <t>Valoración de riesgos de interrupción de la operación para el plan de continuidad del negocio.</t>
  </si>
  <si>
    <t>Publicación Valoración de Riesgos de interrupción.</t>
  </si>
  <si>
    <t xml:space="preserve">Documentación de Estrategias de Continuidad </t>
  </si>
  <si>
    <t>Definir Estrategias de Continuidad de la Operación.</t>
  </si>
  <si>
    <t>Publicación Estrategias de Continuidad de la Operación.</t>
  </si>
  <si>
    <t xml:space="preserve">Documentación del Plan de continuidad de la Operación  </t>
  </si>
  <si>
    <t>Crear Documentación del Plan de continuidad de la Operación.</t>
  </si>
  <si>
    <t>Aprobación del Plan de continuidad de la Operación.</t>
  </si>
  <si>
    <t xml:space="preserve">Acciones correctivas y oportunidades de mejora SGSI  </t>
  </si>
  <si>
    <t xml:space="preserve">Reporte del estado de las Acciones Correctivas y Oportunidades de Mejora </t>
  </si>
  <si>
    <t>Generar reporte del estado actual de las acciones correctivas y de oportunidades de mejora.</t>
  </si>
  <si>
    <t>Control Interno de Gestión</t>
  </si>
  <si>
    <t xml:space="preserve">Auditorías Internas y Externas </t>
  </si>
  <si>
    <t xml:space="preserve">Auditorías internas y externas de la norma ISO 27001:2013 </t>
  </si>
  <si>
    <t>Participar en las auditorías internas y externas de la norma ISO 27001:2013 de acuerdo con el programa anual de auditorías.</t>
  </si>
  <si>
    <t xml:space="preserve">Todos los procesos </t>
  </si>
  <si>
    <t>Participar en las auditorias externas de la norma ISO 27001:2013 de acuerdo con la programacion concertada con el organismo de evaluacion de la conformidad seleccionado</t>
  </si>
  <si>
    <t xml:space="preserve">Generar observaciones o recomendaciones a los acompañamientos realizados a los Procesos </t>
  </si>
  <si>
    <t>Hacer seguimiento a las observaciones o recomendaciones dejadas a los acompañamientos realizados a los Procesos.</t>
  </si>
  <si>
    <t xml:space="preserve">Indicadores SGSI </t>
  </si>
  <si>
    <t xml:space="preserve">Provisión de información a los indicadores de medición del SGSI </t>
  </si>
  <si>
    <t>Implementar, actualizar y reportar los indicadores del SGSI.</t>
  </si>
  <si>
    <t>Evaluación de desempeño del SGSI</t>
  </si>
  <si>
    <t>Revisión por la dirección del SGSI</t>
  </si>
  <si>
    <t>Realizar la revisión por la dirección del SGSI de la Entidad.</t>
  </si>
  <si>
    <t>Elaboró: Paola Barrero Castro y Diana Marcela Rueda - OTI</t>
  </si>
  <si>
    <t xml:space="preserve">Revisó: Luz Marcela Ramirez - Jefe Oficina de Tecnologías de la Información
             Patricia Cuadrado Profesonal - Profesional OTI
             Celmira Frasser- Jefe Oficina Asesora de Planeación
             Gloria Aide Gonzalez- Contratista Secretaria General </t>
  </si>
  <si>
    <t>Fecha de elaboración: 12 de febrero de 2021</t>
  </si>
  <si>
    <t>Fecha de actualización:12 de abril de 2021</t>
  </si>
  <si>
    <t>Fecha de actualización:22 de abril de 2022</t>
  </si>
  <si>
    <t>Fecha de actualización:05 de mayo de 2022</t>
  </si>
  <si>
    <t>GUIA AUTODIAGNOSTICO ISO 27001: 2022</t>
  </si>
  <si>
    <r>
      <t xml:space="preserve">Se entiende por autodiagnóstico el conjunto de actividades realizadas por una misma organización para establecer el estado del arte de un Sistema,  proceso o actividad respecto a un parámetro previamente establecido.
Su aplicación respecto al sistema de gestión de la calidad, se centra en identificar la situación actual, respecto a los requerimientos del reciente proyecto de norma  internacional ISO 27001:2022 .
Esta herramienta puede ser utilizada para desarrollar la primera etapa del ciclo de mejoramiento continuo, es decir el </t>
    </r>
    <r>
      <rPr>
        <b/>
        <sz val="11"/>
        <color indexed="8"/>
        <rFont val="Calibri"/>
        <family val="2"/>
      </rPr>
      <t xml:space="preserve">PLANEAR.  </t>
    </r>
    <r>
      <rPr>
        <sz val="11"/>
        <color theme="1"/>
        <rFont val="Calibri"/>
        <family val="2"/>
        <scheme val="minor"/>
      </rPr>
      <t xml:space="preserve">No es lo mismo que llevar a cabo una </t>
    </r>
    <r>
      <rPr>
        <b/>
        <sz val="11"/>
        <color indexed="8"/>
        <rFont val="Calibri"/>
        <family val="2"/>
      </rPr>
      <t>auditoría,</t>
    </r>
    <r>
      <rPr>
        <sz val="11"/>
        <color theme="1"/>
        <rFont val="Calibri"/>
        <family val="2"/>
        <scheme val="minor"/>
      </rPr>
      <t xml:space="preserve"> ya que el personal de la organización participa en el mismo diagnostico,  por lo que no se cumple principios de la auditoría como objetividad, imparcialidad, autonomía e independencia.   
Uno de los propósito del auto diagnostico es establecer un </t>
    </r>
    <r>
      <rPr>
        <u/>
        <sz val="11"/>
        <color indexed="8"/>
        <rFont val="Calibri"/>
        <family val="2"/>
      </rPr>
      <t>plan de implementación</t>
    </r>
    <r>
      <rPr>
        <sz val="11"/>
        <color theme="1"/>
        <rFont val="Calibri"/>
        <family val="2"/>
        <scheme val="minor"/>
      </rPr>
      <t xml:space="preserve"> para organizaciones que apenas estan implementando el modelo en la versión 2022 
En su primera parte, este documento cuenta con </t>
    </r>
    <r>
      <rPr>
        <b/>
        <sz val="11"/>
        <color indexed="8"/>
        <rFont val="Calibri"/>
        <family val="2"/>
      </rPr>
      <t xml:space="preserve">7 hojas </t>
    </r>
    <r>
      <rPr>
        <sz val="11"/>
        <color theme="1"/>
        <rFont val="Calibri"/>
        <family val="2"/>
        <scheme val="minor"/>
      </rPr>
      <t xml:space="preserve">que  hacen referencia a los capitulos de la norma ISO 9001: 2015 desde </t>
    </r>
    <r>
      <rPr>
        <sz val="11"/>
        <rFont val="Calibri"/>
        <family val="2"/>
      </rPr>
      <t>capitulos del 4 al 10</t>
    </r>
    <r>
      <rPr>
        <sz val="11"/>
        <color theme="1"/>
        <rFont val="Calibri"/>
        <family val="2"/>
        <scheme val="minor"/>
      </rPr>
      <t xml:space="preserve">, en donde se presenta una lista de chequeo de acuerdo a los requisitos que debe evaluarse.
La segunda parte una vez realizada la evaluación,  son las hojas  </t>
    </r>
    <r>
      <rPr>
        <b/>
        <sz val="11"/>
        <color indexed="8"/>
        <rFont val="Calibri"/>
        <family val="2"/>
      </rPr>
      <t>RESUMEN CONSOLIDADO y RESUMEN POR  CAPITULO</t>
    </r>
    <r>
      <rPr>
        <sz val="11"/>
        <color theme="1"/>
        <rFont val="Calibri"/>
        <family val="2"/>
        <scheme val="minor"/>
      </rPr>
      <t xml:space="preserve">, en donde se encuentran los graficos y la información  del diagnóstico consolidada, por lo tanto  no hay necesidad de diligenciar ni manipularlas dichas hojas, en donde los graficos se generarán automáticamente de acuerdo a los resultados obtenidos.
</t>
    </r>
  </si>
  <si>
    <r>
      <t xml:space="preserve">En el diligenciamiento y evaluación es importante aclarar los siguientes criterios:
</t>
    </r>
    <r>
      <rPr>
        <b/>
        <sz val="11"/>
        <color indexed="8"/>
        <rFont val="Calibri"/>
        <family val="2"/>
      </rPr>
      <t>NO APLICA=</t>
    </r>
    <r>
      <rPr>
        <sz val="11"/>
        <color theme="1"/>
        <rFont val="Calibri"/>
        <family val="2"/>
        <scheme val="minor"/>
      </rPr>
      <t xml:space="preserve"> Marque con una “X”, Cuando se ha excluido el requisito y este no afecta la capacidad  ni la responsabilidad para cumplir requisitos por parte de la organización.
</t>
    </r>
    <r>
      <rPr>
        <b/>
        <sz val="11"/>
        <color indexed="8"/>
        <rFont val="Calibri"/>
        <family val="2"/>
      </rPr>
      <t>COMPLETO=</t>
    </r>
    <r>
      <rPr>
        <sz val="11"/>
        <color theme="1"/>
        <rFont val="Calibri"/>
        <family val="2"/>
        <scheme val="minor"/>
      </rPr>
      <t xml:space="preserve"> Marque con una “X”, en el caso de haber realizado TODAS las acciones requeridas, poseer evidencias suficientes y tener resultados eficaces de cumplimiento del requisito.
</t>
    </r>
    <r>
      <rPr>
        <b/>
        <sz val="11"/>
        <color indexed="8"/>
        <rFont val="Calibri"/>
        <family val="2"/>
      </rPr>
      <t>PARCIAL=</t>
    </r>
    <r>
      <rPr>
        <sz val="11"/>
        <color theme="1"/>
        <rFont val="Calibri"/>
        <family val="2"/>
        <scheme val="minor"/>
      </rPr>
      <t xml:space="preserve"> Marque con una “X”,  en el caso de no haber realizado al menos una acción o actividad  requeridas, poseer evidencias insuficientes y a pesar de obtener resultados, estos no son eficaces. 
</t>
    </r>
    <r>
      <rPr>
        <b/>
        <sz val="11"/>
        <color indexed="8"/>
        <rFont val="Calibri"/>
        <family val="2"/>
      </rPr>
      <t>NINGUNO=</t>
    </r>
    <r>
      <rPr>
        <sz val="11"/>
        <color theme="1"/>
        <rFont val="Calibri"/>
        <family val="2"/>
        <scheme val="minor"/>
      </rPr>
      <t xml:space="preserve"> Marque con una “X”, en caso de no encontrar ninguna acción o actividad relacionada, no se poseen evidencias ni resultados  relacionados con el requisito.
</t>
    </r>
    <r>
      <rPr>
        <sz val="11"/>
        <color indexed="10"/>
        <rFont val="Calibri"/>
        <family val="2"/>
      </rPr>
      <t>Nota: La evaluación es excluyente, por favor no marque con una “X” en más de 2 criterios, por ejemplo marcar X en completo y tambien en parcial.</t>
    </r>
    <r>
      <rPr>
        <sz val="11"/>
        <color theme="1"/>
        <rFont val="Calibri"/>
        <family val="2"/>
        <scheme val="minor"/>
      </rPr>
      <t xml:space="preserve">
De igual manera, se deberá relacionar  evidencias o los aspectos desarrollados  por la organización frente a los requisitos que se cumplen de manera completa o parcial, esto deberá relacionarse en la columna denominada </t>
    </r>
    <r>
      <rPr>
        <b/>
        <sz val="11"/>
        <color indexed="8"/>
        <rFont val="Calibri"/>
        <family val="2"/>
      </rPr>
      <t xml:space="preserve">¿QUÉ TIENE ?.
</t>
    </r>
    <r>
      <rPr>
        <sz val="11"/>
        <color theme="1"/>
        <rFont val="Calibri"/>
        <family val="2"/>
        <scheme val="minor"/>
      </rPr>
      <t xml:space="preserve">Mientras que en la columna </t>
    </r>
    <r>
      <rPr>
        <b/>
        <sz val="11"/>
        <color indexed="8"/>
        <rFont val="Calibri"/>
        <family val="2"/>
      </rPr>
      <t xml:space="preserve">¿QUE NOS FALTA? </t>
    </r>
    <r>
      <rPr>
        <sz val="11"/>
        <color theme="1"/>
        <rFont val="Calibri"/>
        <family val="2"/>
        <scheme val="minor"/>
      </rPr>
      <t>se relacionará las diferencias, brechas, evidencias posibles o aspectos a desarrollar  por la organización frente a los requisitos que se cumplen de manera parcial o sin ninguna acción.</t>
    </r>
    <r>
      <rPr>
        <b/>
        <sz val="11"/>
        <color indexed="8"/>
        <rFont val="Calibri"/>
        <family val="2"/>
      </rPr>
      <t xml:space="preserve">
</t>
    </r>
    <r>
      <rPr>
        <sz val="11"/>
        <color theme="1"/>
        <rFont val="Calibri"/>
        <family val="2"/>
        <scheme val="minor"/>
      </rPr>
      <t xml:space="preserve">
Finalmente se encuentra la hoja </t>
    </r>
    <r>
      <rPr>
        <b/>
        <sz val="11"/>
        <color indexed="8"/>
        <rFont val="Calibri"/>
        <family val="2"/>
      </rPr>
      <t>PLAN DE ACCIÓN</t>
    </r>
    <r>
      <rPr>
        <sz val="11"/>
        <color theme="1"/>
        <rFont val="Calibri"/>
        <family val="2"/>
        <scheme val="minor"/>
      </rPr>
      <t xml:space="preserve"> en donde a manera de ejemplo se estructura un plan de implementtación o de tránsición, cuyo punto de partida es la información relacionada en la columna </t>
    </r>
    <r>
      <rPr>
        <b/>
        <sz val="11"/>
        <color indexed="8"/>
        <rFont val="Calibri"/>
        <family val="2"/>
      </rPr>
      <t>¿QUE NOS FALTA?</t>
    </r>
    <r>
      <rPr>
        <sz val="11"/>
        <color theme="1"/>
        <rFont val="Calibri"/>
        <family val="2"/>
        <scheme val="minor"/>
      </rPr>
      <t xml:space="preserve"> de las listas de chequeo de acuerdo a los criterios de la norma. En este plan puede incluirse actividades, tareas, resultados esperados, el tiempo en el que se dene cumplir , procesos relacionados, asi como responsables de las actividades para cerrar las brechas y la opción de relacionar un presupuesto si es necesario.</t>
    </r>
  </si>
  <si>
    <t>DIAGNÓSTICO NORMA NTC ISO 27001:2022</t>
  </si>
  <si>
    <t>4.CONTEXTO DE LA ORGANIZACIÓN</t>
  </si>
  <si>
    <t>NO APLICA</t>
  </si>
  <si>
    <t>COMPLETO</t>
  </si>
  <si>
    <t>PARCIAL</t>
  </si>
  <si>
    <t>NINGUNO</t>
  </si>
  <si>
    <t>QUÉ TIENE?</t>
  </si>
  <si>
    <t>QUE NOS FALTA</t>
  </si>
  <si>
    <t>DOCUMENTOS ASOCIADOS</t>
  </si>
  <si>
    <t xml:space="preserve">PROCESOS ASOCIADOS </t>
  </si>
  <si>
    <t>4.1 CONOCIMIENTO DE LA ORGANIZACIÓN Y DE SU CONTEXTO</t>
  </si>
  <si>
    <t>|</t>
  </si>
  <si>
    <t>La organización debe determinar las problemáticas externas e internas que son pertinentes para su propósito y que afectan su capacidad para lograr los resultados previstos de su sistema de gestión de la seguridad de la información.
NOTA: La determinación de estas cuestiones hace referencia a establecer el contexto externo e interno de la organización, considerado en el numeral 5.4,1 de la NTC-ISO 31000:2018</t>
  </si>
  <si>
    <t>X</t>
  </si>
  <si>
    <t>Se cuenta con un contexto, el cual se encuentra definido en:
* Plan estratégico 2022-2026.
* Manual de Sistema de Gestión de Seguridad de la Información , menciona el contexto de manera general.
*  Plan Estratégico de Tecnologías de la Información PETI 2024, en este no se referencia la Norma ISO 27001,</t>
  </si>
  <si>
    <t xml:space="preserve">Se debe integrar dentro del texto lo referente a la seguridad de la información que maneja y provee a los usuarios, sobre los temas misionales. De igual manera, no se habla de las cuestiones (problemáticas externas e internas) que pueden afectar el propósito.
En lo que respecta a Visión y Misión, se debe actualizar dado que en la página web, como la Intranet se presenta información diferente, versus la información contenida en Plan estratégico 2022-2026 de la entidad. </t>
  </si>
  <si>
    <t>Se cuenta con el Plan Estratégico 2022-2026 
https://centrodememoriahistorica.gov.co
En el Manual del Sistema de Gestión de Seguridad de la Información</t>
  </si>
  <si>
    <t>4.2 COMPRENSIÓN DE LAS NECESIDADES Y EXPECTATIVAS DE LAS PARTES INTERESADAS</t>
  </si>
  <si>
    <t xml:space="preserve"> Administración del Sistema Integrado de Gestión.
Gestión de Tecnología de la Información y las Comunicaciones</t>
  </si>
  <si>
    <t>La organización debe determinar:</t>
  </si>
  <si>
    <t>a. Las partes interesadas que son relevantes al sistema de gestión de la seguridad de la información; y</t>
  </si>
  <si>
    <t>En las siguientes fuentes de información:
* "Estrategia de Cultura y Apropiación de TI 2023, se menciona las partes interesadas internas, pero no hay una amplia definición.
*En página web/Transparencia/ 8, Información Específica para Grupos de Interés en este link se encuentra la Información para niños, niñas y adolescentes; Información para mujeres, Información para grupos étnicos.
* Manual del Sistema Integrado de Gestión - Código SIP-MA-001 versión 9 (ahora versión 10 de fecha 26/04/2024) , numeral 3, Partes Interesadas en el accionara del  se describe que son: Victimas y organizaciones de victimas, Organizaciones sociales y de derechos humanos, Academia y centros de pensamiento, Otras entidades del Estado (Orden Nacional y Territorial), Personas desmovilizadas, Sociedad en su conjunto.</t>
  </si>
  <si>
    <t>Se debe construir un documento donde se consoliden las partes interesadas, tomando las de la entidad y aquellas que puedan afectar el sistema de gestión de seguridad; así como se debe incluir los requisitos legales y reglamentarios, así como en los contractuales.</t>
  </si>
  <si>
    <t>En documento "Estrategia de Cultura y Apropiación de TI 2023,publicado en la web https://centrodememoriahistorica.gov.co/wp-content/uploads/2023/04/Estrategia-de-cultura-y-apropiacion.pdf, se menciona las partes interesadas internas.
De igual manera, se revisa en la página web/Transparencia/ 8, Información Específica para Grupos de Interés, en este link se encuentra la Información para niños, niñas y adolescentes; Información para mujeres, Información para grupos étnicos.
Otro documento: Manual del Sistema Integrado de Gestión V9, numeral 3, Partes Interesadas en el accionara del  se describe que son: Victimas y organizaciones de victimas, Organizaciones sociales y de derechos humanos, Academia y centros de pensamiento, Otras entidades del Estado (Orden Nacional y Territorial), Personas desmovilizadas, Sociedad en su conjunto. https://intranet.centrodememoriahistorica.gov.co/visorpdf.php?id=577&amp;pdf=1</t>
  </si>
  <si>
    <t xml:space="preserve">b. Los requisitos relevantes de estas partes interesadas
</t>
  </si>
  <si>
    <t>c. Cuales de estos requisitos pueden ser abordados a través del sistema de gestión de seguridad de la información
NOTA Los requisitos de las partes interesadas pueden incluir los requisitos legales y reglamentarios, y las obligaciones contractuales.</t>
  </si>
  <si>
    <t>4.3 DETERMINACIÓN DEL ALCANCE DEL SISTEMA DE GESTIÓN DE LA SEGURIDAD DE LA INFORMACIÓN</t>
  </si>
  <si>
    <t>G</t>
  </si>
  <si>
    <t>La organización debe determinar los límites y la aplicabilidad del sistema de gestión de la seguridad de la información para establecer su alcance.
Cuando se determina este alcance, la organización debe considerar:</t>
  </si>
  <si>
    <t>Se cuenta consulta:
* "Manual del Sistema de Gestión de Seguridad de la Información " SIP -MA-002 Vr, 2 de 2021; en este documento en el numeral 4, tratan el Alcance del Sistema de Gestión de Seguridad de la Información (Pág. 6) 
*PLAN DE SEGURIDAD Y PRIVACIDAD DE LA INFORMACIÓN", en su numeral 7, Alcance/Aplicabilidad.
*Declaración de Aplicabilidad - 2021" - Intranet Documentos del Sistema</t>
  </si>
  <si>
    <r>
      <t xml:space="preserve">En el manual del sistema de Gestión de Seguridad de la Información: Si bien se define un alcance a los procesos misionales: 
</t>
    </r>
    <r>
      <rPr>
        <sz val="12"/>
        <color indexed="10"/>
        <rFont val="Calibri"/>
        <family val="2"/>
      </rPr>
      <t>Acuerdos de la Verdad</t>
    </r>
    <r>
      <rPr>
        <sz val="12"/>
        <color indexed="8"/>
        <rFont val="Calibri"/>
        <family val="2"/>
      </rPr>
      <t xml:space="preserve">
</t>
    </r>
    <r>
      <rPr>
        <sz val="12"/>
        <color indexed="56"/>
        <rFont val="Calibri"/>
        <family val="2"/>
      </rPr>
      <t>Difusión de la Memoria Histórica</t>
    </r>
    <r>
      <rPr>
        <sz val="12"/>
        <color indexed="8"/>
        <rFont val="Calibri"/>
        <family val="2"/>
      </rPr>
      <t xml:space="preserve">
</t>
    </r>
    <r>
      <rPr>
        <sz val="12"/>
        <color indexed="10"/>
        <rFont val="Calibri"/>
        <family val="2"/>
      </rPr>
      <t xml:space="preserve">Gestión de Investigaciones
Registro Acopio y Procesamiento
Servicios Información, Archivo y Colecciones
</t>
    </r>
    <r>
      <rPr>
        <sz val="12"/>
        <color indexed="8"/>
        <rFont val="Calibri"/>
        <family val="2"/>
      </rPr>
      <t xml:space="preserve">
Procesos de Soporte:
</t>
    </r>
    <r>
      <rPr>
        <sz val="12"/>
        <color indexed="56"/>
        <rFont val="Calibri"/>
        <family val="2"/>
      </rPr>
      <t>Gestión de Talento Humano</t>
    </r>
    <r>
      <rPr>
        <sz val="12"/>
        <color indexed="8"/>
        <rFont val="Calibri"/>
        <family val="2"/>
      </rPr>
      <t xml:space="preserve">
</t>
    </r>
    <r>
      <rPr>
        <sz val="12"/>
        <color indexed="56"/>
        <rFont val="Calibri"/>
        <family val="2"/>
      </rPr>
      <t xml:space="preserve">Gestión de las TIC
</t>
    </r>
    <r>
      <rPr>
        <sz val="12"/>
        <color indexed="8"/>
        <rFont val="Calibri"/>
        <family val="2"/>
      </rPr>
      <t xml:space="preserve">
Se puede observar que los procesos en rojo ya no se encuentran dentro del mapa de procesos consultado en la intranet, lo cual requiere que el documento sea actualizado.</t>
    </r>
  </si>
  <si>
    <t>Se cuenta con el documento "Manual del Sistema de Gestión de Seguridad de la Información " SIP -MA-002 Vr, 2 de 2021; en este documento en el numeral 4, tratan el Alcance del Sistema de Gestión de Seguridad de la Información (Pág. 6) https://intranet.centrodememoriahistorica.gov.co/loader.php?lServicio=Documentos&amp;lFuncion=dspMenuPrincipal&amp;id=75
Se cuenta con el documento "PLAN DE SEGURIDAD Y PRIVACIDAD DE LA INFORMACIÓN", en su numeral 7, Alcance/Aplicabilidad; documento publicado en la web https://centrodememoriahistorica.gov.co/wp-content/uploads/2024/02/PLAN-DE-SEGURIDAD-Y-PRIVACIDAD-DE-LA-INFORMACIO%CC%81N.docx.pdf
Se cuenta con el Documento "Declaración de Aplicabilidad - 2021" - Intranet Documentos del Sistema</t>
  </si>
  <si>
    <t>a. Las problemáticas externas e internas referidas en el numeral 4.1, y</t>
  </si>
  <si>
    <t>No se encuentran documentadas, las cuestiones internas y externas  frente al Sistema de Seguridad de la Información.</t>
  </si>
  <si>
    <t>Se debe documentar en algún instrumento de la entidad, las problemáticas externas e internas de la entidad; con el fin de tener el punto de partida, a que se le debe apuntar como Seguridad de la Información</t>
  </si>
  <si>
    <t>No se observa documentado</t>
  </si>
  <si>
    <t xml:space="preserve">b. Los requisitos referidos en el numeral  4.2; </t>
  </si>
  <si>
    <t>En el Manual de Seguridad de la Información se observó en el numeral 9.2.1 Política de Cumplimiento requisitos legales y contractuales.</t>
  </si>
  <si>
    <t>Se debe describir el algún instrumento de la entidad los requisitos de las partes interesadas.</t>
  </si>
  <si>
    <t>c. las interfaces y dependencias entre las actividades realizadas por la organización, y las
que realizan otras organizaciones</t>
  </si>
  <si>
    <t>No se observó documenta las interfaces entre dependencias en temas de actividades u otras organizaciones</t>
  </si>
  <si>
    <t>Se debe describir en algún instrumento de la entidad, las interfaces que se deban contemplar tanto en el interior de la entidad como con otras organizaciones.</t>
  </si>
  <si>
    <t>El alcance debe estar disponible como información documentada.</t>
  </si>
  <si>
    <t>Se cuenta con el documento "Manual del Sistema de Gestión de Seguridad de la Información " SIP -MA-002 Vr, 2 de 2021; en este documento en el numeral 4, tratan el Alcance del Sistema de Gestión de Seguridad de la Información (Pág. 4)
https://intranet.centrodememoriahistorica.gov.co/visorpdf.php?id=1074&amp;pdf=1</t>
  </si>
  <si>
    <t>Se debe actualizar y articular con lo que se pretende en temas de Seguridad de la Información.</t>
  </si>
  <si>
    <t>"Manual del Sistema de Gestión de Seguridad de la Información " SIP -MA-002 Vr, 2 de 2021; en este documento en el numeral 4, tratan el Alcance del Sistema de Gestión de Seguridad de la Información (Pág. 4)
https://intranet.centrodememoriahistorica.gov.co/visorpdf.php?id=1074&amp;pdf=1</t>
  </si>
  <si>
    <t>4.4 SISTEMA DE GESTIÓN DE LA SEGURIDAD DE LA INFORMACIÓN</t>
  </si>
  <si>
    <t>La organización debe establecer, implementar, mantener y mejorar continuamente un sistema de gestión de la seguridad de la información, de acuerdo con los requisitos de esta norma.</t>
  </si>
  <si>
    <r>
      <t>Se cuenta con:
*  "Manual del Sistema de Gestión de Seguridad de la Información " SIP -MA-002 Vr, 2 de 2021
* Plan de Seguridad y Privacidad de la Información de fecha enero de 2024.
* Plan Estratégico de Tecnologías de la Información PETI 2024, en este no se referencia la Norma ISO 27001,
* Política de Transferencia de la Información SIP-PC-011 -Vr 1 de 2016, 
* Política de Tratamiento de la Información y Datos Personales SIP-PC-015 v3.
* Política de Gobierno Digital SIP-PC-016 versión 1 de 2019. 
*</t>
    </r>
    <r>
      <rPr>
        <sz val="12"/>
        <color indexed="8"/>
        <rFont val="Calibri"/>
        <family val="2"/>
      </rPr>
      <t xml:space="preserve"> Políticas de Seguridad y Privacidad de la Información SOP-PC-013 - Versión 3 de 01/10/2021 -Se encuentra documentada la Política de control de Acceso a la Información (numeral 6,9)</t>
    </r>
  </si>
  <si>
    <t>En el documento Plan Estratégico de Tecnologías de la Información PETI 2024, en este no se referencia la Norma ISO 27001. 
De otra parte se debe articular con todos los documentos que se tienen definidos y/o que se encuentran por definir para articular todo el tema de los requisitos de la norma.</t>
  </si>
  <si>
    <t>Se cuenta con el documento Plan de Seguridad y Privacidad de la Información de fecha enero de 2024, ubicado en la página web https://centrodememoriahistorica.gov.co/wp-content/uploads/2024/02/PLAN-DE-SEGURIDAD-Y-PRIVACIDAD-DE-LA-INFORMACIO%CC%81N.docx.pdf.
Se cuenta con documento Plan Estratégico de Tecnologías de la Información PETI 2024, en este no se referencia la Norma ISO 27001, este documento se encuentra publicado en la página web https://centrodememoriahistorica.gov.co/wp-content/uploads/2024/02/Plan-Estrategico-de-Tecnologi%CC%81as-de-la-Informacio%CC%81n-PETI_2024-V4_1.pdf.
* Política de Transferencia de la Información SIP-PC-011 -Vr 1 de 2016, allí no hay descripción de responsables.
* Política de Tratamiento de la Información y Datos Personales SIP-PC-015 v3. --En el numeral VIII. Área Responsable de la Atención de Peticiones, Consultas y Reclamos se encuentra a cargo de la Dirección Administrativa y Financiera del Centro Nacional de Memoria Histórica (actualizar, rectificar, suprimir datos)
* Política de Gobierno Digital SIP-PC-016 versión 1 de 2019. Se indica que declara que todos los funcionarios y contratistas son responsables de ejecutar esta política, pero no hay responsabilidades definidas.
*Políticas de Seguridad y Privacidad de la Información SOP-PC-013 - Versión 3 de 01/10/2021 -Se encuentra documentada la Política de control de Acceso a la Información (numeral 6,9)</t>
  </si>
  <si>
    <t>Borrador Plan de seguridad y privacidad v4
http://otidocs.acr.int/sites/OTI/Soporte%20de%20Instrumentos/2021/Soportes%20Seguridad%20Digital/Borrador_Plan_trabajo_Seg_Priv_v4.docx</t>
  </si>
  <si>
    <t>4.3 DETERMINACIÓN DEL ALCANCE DEL DE GESTIÓN DE LA SEGURIDAD DE LA INFORMACIÓN</t>
  </si>
  <si>
    <t>PROMEDIO</t>
  </si>
  <si>
    <t>Elaborado: Ana Yancy Urbano Velasco</t>
  </si>
  <si>
    <t xml:space="preserve">                 Contratista - Control Interno</t>
  </si>
  <si>
    <t>Fecha:      Mayo de 2024</t>
  </si>
  <si>
    <t xml:space="preserve">DIAGNÓSTICO NORMA NTC ISO 27001:2022 / </t>
  </si>
  <si>
    <t>5 LIDERAZGO</t>
  </si>
  <si>
    <t>5.1 LIDERAZGO Y COMPROMISO</t>
  </si>
  <si>
    <r>
      <t xml:space="preserve">La alta dirección debe demostrar liderazgo y compromiso con respecto al sistema de gestión de la seguridad de la información </t>
    </r>
    <r>
      <rPr>
        <sz val="8"/>
        <color indexed="10"/>
        <rFont val="Calibri"/>
        <family val="2"/>
      </rPr>
      <t>por:</t>
    </r>
  </si>
  <si>
    <t>a) asegurando que se establezcan la política de la seguridad de la información y los objetivos de la seguridad de la información, y que estos sean compatibles con la dirección estratégica de la organización;</t>
  </si>
  <si>
    <t>*Manual del Sistema de Gestión de Seguridad de la Información SIP-MA-002 de fecha 2021 ubicado en la intranet- En el numeral 9,1.2 .Liderazgo, se menciona de forma general.
* Manual del Sistema Integrado de Gestión - Código SIP-MA-001 versión  10 de fecha 26/04/2024, cuenta con un numeral 7.4. Compromiso de la Alta Dirección</t>
  </si>
  <si>
    <t>Se describen varias políticas de seguridad de la información; sin embargo se debe hacer una introducción que enmarque la misionalidad, y a quienes impacta (partes internas y externas)</t>
  </si>
  <si>
    <t>* Manual del Sistema de Gestión de Seguridad de la Información SIP-MA-002 de fecha 2021 ubicado en la intranet.
* Manual del Sistema Integrado de Gestión - Código SIP-MA-001 versión  10 de fecha 26/04/2024, cuenta con un numeral 7.4. Compromiso de la Alta Dirección.
*Plan Estratégico de Tecnologías de la Información PETI 2024</t>
  </si>
  <si>
    <t>b) asegurando la integración de los requisitos del sistema de gestión de la seguridad de la información en los procesos de la organización;</t>
  </si>
  <si>
    <t>Manual del Sistema de Gestión de Seguridad de la Información SIP-MA-002 de fecha 2021 , en el numeral 4, se describe el alcance, en la política no se enmarca lo descrito.</t>
  </si>
  <si>
    <t>No se menciona que abarca a todos los procesos</t>
  </si>
  <si>
    <t>c) asegurando que los recursos necesarios para el sistema de gestión de la seguridad de la información estén disponibles;</t>
  </si>
  <si>
    <t>Se cuenta con el documento En el Manual del Sistema de Gestión de Seguridad de la Información SIP-MA-002 de fecha 2021 ubicado en la intranet</t>
  </si>
  <si>
    <t>No se habla de los recursos con los que se cuenta</t>
  </si>
  <si>
    <t>d) comunicando la importancia de una gestión de la seguridad de la información eficaz y de la conformidad con los requisitos del sistema de gestión de la seguridad de la información;</t>
  </si>
  <si>
    <t>Se debe ser mas claros y mas explícitos frente a las pretensiones de la política</t>
  </si>
  <si>
    <t>e) asegurando que el sistema de gestión de la seguridad de la información logre los resultados previstos;</t>
  </si>
  <si>
    <t>No se indica como se mide los resultados y cada cuanto se evalúa</t>
  </si>
  <si>
    <t>f) dirigiendo y apoyando a las personas, para contribuir a la eficacia del sistema de gestión de la seguridad de la información;</t>
  </si>
  <si>
    <t>Falta realizar socializaciones e interiorización del tema de Seguridad de la Información en todos los nivelas de la entidad</t>
  </si>
  <si>
    <t>g) promoviendo la mejora continua, y</t>
  </si>
  <si>
    <t>Desde la Alta dirección, se deben generar acciones para que se mejore todo lo relacionado con el Sistema de Seguridad de la Información</t>
  </si>
  <si>
    <r>
      <t xml:space="preserve">h) apoyando otros roles pertinentes de la dirección, para demostrar su liderazgo aplicado a sus áreas de responsabilidad.
</t>
    </r>
    <r>
      <rPr>
        <sz val="8"/>
        <color indexed="10"/>
        <rFont val="Calibri"/>
        <family val="2"/>
      </rPr>
      <t>NOTA: La referencia a "negocio" en este documento puede ser interpretado como las actividades que son el Core o propósito de la existencia de la organización</t>
    </r>
  </si>
  <si>
    <t>Se debe mejorar los roles y definir los responsables, con sus obligaciones frente al cumplimiento del Sistema de Seguridad de la Información, con el fin de contribuir a la mejora continua y asegurar la información que se maneja en su misionalidad y operatividad.</t>
  </si>
  <si>
    <t>5.2 POLÍTICA</t>
  </si>
  <si>
    <t>La alta dirección debe establecer una política de la seguridad de la información que:</t>
  </si>
  <si>
    <t>a) sea adecuada al propósito de la organización;</t>
  </si>
  <si>
    <t>* Manual del Sistema de Gestión de Seguridad de la Información SIP-MA-002 de fecha 2021 ubicado en la intranet.
* Política de Transferencia de Información 
* Política de Tratamiento de la información y datos personales.
* Política de Seguridad y Privacidad de la Información.
*Política de Gobierno Digital.
* Manual del Sistema Integrado de Gestión - Código SIP-MA-001 versión  10 de fecha 26/04/2024, cuenta con un numeral 8,5. Sistema de Gestión de Seguridad de la Información, en este se menciona que se dan lineamientos en :
-Política de Transferencia de la Información.
-Política de Seguridad y privacidad de la Información.
-Política de Tratamiento de la Información y datos personales
-Política Gobierno Digital
-Manual del sistema gestión seguridad de la Información</t>
  </si>
  <si>
    <t>Se deben articular todos los documentos y relacionarlos desde el manual del Sistema de Gestión de Seguridad de la Información con los demás instrumentos que se quieran crear para apalancar el cumplimiento de la norma ISO 27001.</t>
  </si>
  <si>
    <t>Se cuenta con el documento En el Manual del Sistema de Gestión de Seguridad de la Información SIP-MA-002 de fecha 2021 ubicado en la intranet.
* Política de Transferencia de Información 
* Política de Tratamiento de la información y datos personales.
* Política de Seguridad y Privacidad de la Información.
*Política de Gobierno Digital.
* Manual del Sistema Integrado de Gestión - Código SIP-MA-001 versión  10 de fecha 26/04/2024, cuenta con un numeral  8,5 Sistema de Gestión de Seguridad de la Información</t>
  </si>
  <si>
    <t>b) incluya objetivos de seguridad de la información (véase el numeral 6.2) o proporcione el marco de referencia para el establecimiento de los objetivos de la seguridad de la información;</t>
  </si>
  <si>
    <t>Definir objetivos que sean alcanzables y medibles</t>
  </si>
  <si>
    <t>c) incluya el compromiso de cumplir los requisitos aplicables relacionados con la seguridad de la información; y</t>
  </si>
  <si>
    <t>Definir en los objetivos quienes, cuando y como se van a ejecutar , así como evaluar su cumplimiento</t>
  </si>
  <si>
    <t>d) incluya el compromiso de mejora continua del sistema de gestión de la seguridad de la información.
La política de la seguridad de la información debe:</t>
  </si>
  <si>
    <t>e) estar disponible como información documentada;</t>
  </si>
  <si>
    <t>Se debe generar estrategias para la divulgación y conocimiento al interior de la entidad y las partes interesadas, así como su documentación y hacer público a las partes interesadas con el fin de que todos aporten al cumplimiento de la Seguridad de la Información</t>
  </si>
  <si>
    <t>f) comunicarse dentro de la organización; y</t>
  </si>
  <si>
    <t>Validar como se da a conocer dentro de la entidad</t>
  </si>
  <si>
    <t>g) estar disponible para las partes interesadas, según sea apropiado</t>
  </si>
  <si>
    <t>5.3 ROLES, RESPONSABILIDADES Y AUTORIDADES EN LA ORGANIZACIÓN</t>
  </si>
  <si>
    <t xml:space="preserve">La alta dirección debe asegurarse de que las responsabilidades y autoridades para los roles pertinentes a la seguridad de la información se asignen y comuniquen. </t>
  </si>
  <si>
    <t>* Manual del Sistema Integrado de Gestión - SIP-MA-001 versión 10, en el numeral 9 Responsabilidades del SIG, se describe las responsabilidades del Sistema Integrado de Gestión. (Representante de la Alta Dirección, Líderes de proceso y líderes de procedimiento, Comité Institucional de Gestión y Desempeño, 
* Manual del Sistema de Seguridad de la Información SIP-MA-0002 versión 002 en el numeral 9.1,2, Liderazgo indica que "El Director General  asume el liderazgo y compromiso desde la emisión de la resolución que formalice el SGSI que como acto administrativo exige el cumplimiento de nuevas responsabilidades para todos los funcionarios del . El Director debe verificar que el SGSI está alineado con la misión y objetivos del  y realizar la gestión necesaria para que suministren los recursos necesarios señalados en las Políticas, Procedimientos y Controles.
Adicional en el ítem Roles, Responsabilidades y Autoridades en la Organización, Se define que el SGSI estará dentro de la Oficina Asesora de Planeación y contará con un profesional encargado de la Seguridad de la Información quien será el responsable por este sistema.  Los roles y responsabilidades se encuentran definidos en cada uno de los procedimientos que soportan las políticas de Seguridad de la Información y hacen una descripción general de: 
* Responsable del Riesgo: 
* Responsable de Control
* Responsable de Actividad
* Responsable de eventos de seguridad. (pág. 10).
*- Procedimiento GTC- PR-005 Gestión de seguridad de la información, en el cual se relaciona como líder al Profesional especializado TIC - Contratista Perfil SGSI-
- En  Resolución No. 206 de 2018, por la cual se adopta la Política de seguridad de la información en el . No se indica quien es el responsable</t>
  </si>
  <si>
    <t>Se debe unificar la información, debido a que se presenta diversidad de información con versiones diferentes. Por parte del Sistema de Gestión de Seguridad se muestra el manual de sistema de Seguridad en versión de 2014, pero por el Sistema Integrado  se muestra el manual en versión 2 de 2021.
* Política de Transferencia de la Información SIP-PC-011 -Vr 1 de 2016, allí no hay descripción de responsables.
* Política de Tratamiento de la Información y Datos Personales SIP-PC-015 v3. En el numeral VIII. Área Responsable de la Atención de Peticiones, Consultas y Reclamos se encuentra a cargo de la Dirección Administrativa y Financiera del Centro Nacional de Memoria Histórica (actualizar, rectificar, suprimir datos)
* Política de Gobierno Digital SIP-PC-016 versión 1 de 2019. Se indica que declara que todos los funcionarios y contratistas son responsables de ejecutar esta política, pero no hay responsabilidades definidas.
* Política de seguridad y privacidad de la Información, no fue localizado dentro de Sistema Integrado de Gestión. Se recomienda actualizar el Manual del Sistema Integrado de Gestión o en su efecto generar este documento.
* Procedimiento de Gestión de Roles y Privilegios - SIP-PR-009 versión 9 de fecha  2016, este documentos habla de los accesos a usuarios y accesos no autorizados a los sistemas y servicios de .
De esta forma, se unifique y se deje un solo instrumento ilustrando las diferentes responsabilidades de la adopción al sistema de Seguridad de la Información.</t>
  </si>
  <si>
    <t xml:space="preserve">*Manual del Sistema Integrado de Gestión - SIP-MA-001 versión 10, en el numeral 9 Responsabilidades del SIG, 
*Manual del Sistema de Seguridad de la Información SIP-MA-0002 versión 002 en el numeral 9.1,2, Liderazgo 
* Procedimiento de Gestión de Seguridad de la Información GTC-PR-005 vr. 2 de 2019. Tiene todo lo que hace TIC pero no a nivel entidad.
*Declaración de Aplicabilidad de 2021
* Política de Tratamiento de la Información y Datos Personales SIP-PC-015 v3. --En el numeral VIII. Área Responsable de la Atención de Peticiones, Consultas y Reclamos se encuentra a cargo de la Dirección Administrativa y Financiera del Centro Nacional de Memoria Histórica (actualizar, rectificar, suprimir datos)
* Política de Gobierno Digital SIP-PC-016 versión 1 de 2019. Se indica que declara que todos los funcionarios y contratistas son responsables de ejecutar esta política, pero no hay responsabilidades definidas.
* Política de control de Acceso a la Información(no se encuentra archivo)
* Procedimiento de Gestión de Roles y Privilegios - SIP-PR-009 versión 9 de fecha  2016, este documentos habla de los accesos a usuarios y accesos no autorizados a los sistemas y servicios de .
- En  Resolución No. 206 de 2018, por la cual se adopta la Política de seguridad de la información en el . </t>
  </si>
  <si>
    <t xml:space="preserve">
</t>
  </si>
  <si>
    <r>
      <rPr>
        <sz val="8"/>
        <color indexed="10"/>
        <rFont val="Calibri"/>
        <family val="2"/>
      </rPr>
      <t>La alta dirección debe asignar la responsabilidad y autoridad para:</t>
    </r>
    <r>
      <rPr>
        <sz val="8"/>
        <color indexed="8"/>
        <rFont val="Calibri"/>
        <family val="2"/>
      </rPr>
      <t xml:space="preserve">
a) asegurarse de que el sistema de gestión de la seguridad de la información sea conforme con los requisitos de esta Norma;</t>
    </r>
  </si>
  <si>
    <t>En el Manual del Sistema de Seguridad de la Información SIP-MA-0002 versión 002, en el numeral 9.1.2. Liderazgo , en el ítem de Roles, Responsabilidades y Autoridades en la Organización, se indica que el Responsable corresponde a la Oficina Asesora de Planeación.</t>
  </si>
  <si>
    <t>Se observan varios documentos con la asignación de responsabilidades del sistema de seguridad . Por lo cual la entidad, debe definir el responsable del sistema.</t>
  </si>
  <si>
    <t>* Manual del Sistema de Seguridad de la Información SIP-MA-0002 versión 002, se indica que el Responsable corresponde a la Oficina Asesora de Planeación.</t>
  </si>
  <si>
    <t>b) informar a la alta dirección sobre el desempeño del sistema de gestión de la seguridad de la información.</t>
  </si>
  <si>
    <t>Verificar si esto se ha realizado con el responsable del sistema.</t>
  </si>
  <si>
    <t>No se observa de manera clara quien debe reportar el desempeño del sistema de seguridad de la información así mismo no se cuenta con evidencia de sobre esta información</t>
  </si>
  <si>
    <t>No se encuentra documentado</t>
  </si>
  <si>
    <t>NOTA La alta dirección también puede asignar responsabilidades y autoridades para informar sobre el desempeño del sistema de gestión de la seguridad de la información dentro de la organización.</t>
  </si>
  <si>
    <t>RESUMEN NUMERAL</t>
  </si>
  <si>
    <t>% AVANCE</t>
  </si>
  <si>
    <t>PROMEDIO AVANCE</t>
  </si>
  <si>
    <t>6.PLANIFICACIÓN</t>
  </si>
  <si>
    <t xml:space="preserve">DOCUMENTOS ASOCIADOS </t>
  </si>
  <si>
    <t>6.1 ACCIONES PARA ABORDAR RIESGOS Y OPORTUNIDADES</t>
  </si>
  <si>
    <r>
      <t xml:space="preserve">6.1.1 Generalidades </t>
    </r>
    <r>
      <rPr>
        <sz val="11"/>
        <color indexed="8"/>
        <rFont val="Calibri"/>
        <family val="2"/>
      </rPr>
      <t xml:space="preserve"> </t>
    </r>
  </si>
  <si>
    <t>Al planificar el sistema de gestión de seguridad de la información, la organización debe
considerar las problemáticas referidas en el numeral 4.1 y los requisitos a que se hace referencia en el numeral 4.2 y determinar los riesgos y oportunidades que es necesario tratar, con el fin de:</t>
  </si>
  <si>
    <t>* Manual del Sistema de Seguridad de la Información SIP-MA-0002 versión 002 en el numeral 9.1.4. Planificación, tiene un ítem de Acciones para tratar riesgos y oportunidades; pero lo menciona de manera general.
* Manual del Sistema Integrado de Gestión - Código SIP-MA-001 versión  10 de fecha 26/04/2024, cuenta con un numeral  10, Administración del Riesgo.
* "Plan de tratamiento de riesgos Código SIP-PL-003 Versión 001 de fecha 30/11/2017"*** se menciona los riesgos de seguridad.
Resolución 378 de 2023.---Habla de Riesgo de seguridad digital --Art. 4 Términos y Definiciones.</t>
  </si>
  <si>
    <t>Se debe documentar en algún instrumento lo requerido para los riesgos de seguridad de la información</t>
  </si>
  <si>
    <r>
      <t>* Manual del Sistema de Seguridad de la Información SIP-MA-0002 versión 002
*Manual del Sistema Integrado de Gestión - Código SIP-MA-001 versión  10 de fecha 26/04/2024, cuenta con un numeral  10, Administración del Riesgo.
*Plan de tratamiento de riesgos Código SIP-PL-003 Versión 001 de fecha 30/11/2017.
*Resolución 378 de</t>
    </r>
    <r>
      <rPr>
        <sz val="11"/>
        <color indexed="36"/>
        <rFont val="Calibri"/>
        <family val="2"/>
      </rPr>
      <t xml:space="preserve"> 2023.---Habla de Riesgo de seguridad digital --Art. 4 Términos y Definiciones.</t>
    </r>
  </si>
  <si>
    <t>a) asegurarse de que el sistema de gestión de la seguridad de la información pueda lograr sus resultados previstos;</t>
  </si>
  <si>
    <t>Se cuenta con documento "Administración del Riesgo, código SIP-PR-007, VERSIÓN 006 DE FECHA 24/01/2024; en este documento no se detalla como detectar y tratar los riesgos de seguridad de la información se menciona de manera general los riesgos de Seguridad Digital.</t>
  </si>
  <si>
    <t>Se cuenta con documento "Administración del Riesgo, código SIP-PR-007, VERSIÓN 006 DE FECHA 24/01/2024.</t>
  </si>
  <si>
    <t>b) prevenir o reducir efectos indeseados; y</t>
  </si>
  <si>
    <t>Manual de Sistema Integrado de Gestión - Resolución 378 de 2023.</t>
  </si>
  <si>
    <t>c) lograr la mejora continua.</t>
  </si>
  <si>
    <t>No se cuenta con algún instrumento</t>
  </si>
  <si>
    <t>La organización debe planificar:
d) las acciones para tratar estos riesgos y oportunidades; y</t>
  </si>
  <si>
    <t>e) la manera de:
    1. integrar e implementar estas acciones en sus procesos del sistema de gestión de la seguridad    
         de la información,</t>
  </si>
  <si>
    <t xml:space="preserve">     2. evaluar la eficacia de estas acciones.</t>
  </si>
  <si>
    <t>6.1.2 Apreciación de riesgos de la seguridad de la información</t>
  </si>
  <si>
    <t>La organización debe definir y aplicar un proceso de apreciación de riesgos de la seguridad de la
información que:</t>
  </si>
  <si>
    <t>a) establezca y mantenga criterios de riesgo de la seguridad de la información que incluyan:
1) Los criterios de aceptación de riesgos; y
2) los criterios para ejecutar la apreciación de riesgos de la seguridad de la información;</t>
  </si>
  <si>
    <t>Se indica en la Resolución N° 378 del 26 diciembre de 2023 (solo menciona riesgos de seguridad digital)</t>
  </si>
  <si>
    <t>Falta que se mencione y se trabaje sobre los riesgos de seguridad de la información.
Se debe incluir los riesgos de seguridad de la información.</t>
  </si>
  <si>
    <t>b) asegure que las apreciaciones repetidas de riesgos de la seguridad de la información produzcan resultados consistentes, válidos y comparables;</t>
  </si>
  <si>
    <t>En Resolución N° 378 --No se menciona.</t>
  </si>
  <si>
    <t>c) identifique los riesgos de la seguridad de la información:
     1. aplicar el proceso de apreciación de riesgos de la seguridad de la información para identificar los  riesgos asociados con la pérdida de confidencialidad, de integridad y de disponibilidad de información dentro del alcance del sistema de gestión de la seguridad de la información; e
     2. identificar a los dueños de los riesgos;</t>
  </si>
  <si>
    <t>d) analice los riesgos de la seguridad de la información:
    1.Apreciar las consecuencias potenciales que resultaran si se materializaran los riesgos identificados  
        en 6.1.2 c) a 1);
     2.Apreciar la probabilidad realista de que ocurran los riesgos identificados en 6.1.2 c) 1); y
     3. determinar los niveles de riesgo;</t>
  </si>
  <si>
    <t>e) evalúe los riesgos de seguridad de la información:
   1. comparar los resultados del análisis de riesgos con los criterios de riesgo establecidos en 6.1.2 a) y
   2. priorizar los riesgos analizados para el tratamiento de riesgos.</t>
  </si>
  <si>
    <t>La organización debe retener información documentada acerca del proceso de apreciación de riesgos de la seguridad de la información.</t>
  </si>
  <si>
    <t>6.1.3 Tratamiento de riesgos de la seguridad de la información</t>
  </si>
  <si>
    <t>La organización debe definir y aplicar un proceso de tratamiento de riesgos de la seguridad de la información para:</t>
  </si>
  <si>
    <t>a) seleccionar las opciones apropiadas de tratamiento de riesgos de la seguridad de la
información, teniendo en cuenta los resultados de la apreciación de riesgos;</t>
  </si>
  <si>
    <t>Resolución N° 378 de 2023 - Tiene el art. 9. Tratamiento de Riesgos (Pero no se incluye los riesgos de Seguridad de la Información).
Procedimiento Administración del Riesgo--SIP-PR-007 de fecha 22/01/2024. En este documento se define Riesgo de Seguridad de la Información, pero en el documento se desarrolla son los riesgos Seguridad Digital</t>
  </si>
  <si>
    <t>Se debe evidenciar en algún documento controlado de la entidad.
En el Procedimiento Administración del Riesgo--SIP-PR-007 de fecha 22/01/2024. En este documento se define Riesgo de Seguridad de la Información, se debe incluir el manejo de los riesgos de seguridad de la información.</t>
  </si>
  <si>
    <t xml:space="preserve">*Resolución N° 378 de 2023 - Tiene el art. 9. Tratamiento de Riesgos 
*Procedimiento Administración del Riesgo--SIP-PR-007 de fecha 22/01/2024. </t>
  </si>
  <si>
    <t>b) determinar todos los controles que sean necesarios para implementar las opciones
escogidas para el tratamiento de riesgos de la seguridad de la información;
NOTA Las organizaciones pueden diseñar los controles necesarios, o identificarlos de cualquier fuente.</t>
  </si>
  <si>
    <t>Se cuenta con el Documento "Declaración de Aplicabilidad - 2021" - Intranet Documentos del Sistema</t>
  </si>
  <si>
    <t>Pero en ningún documento se menciona que se deben seleccionar los controles que se tienen dispuestos en la norma ISO 27001. Adicional ya se debe actualizar los controles a la versión 2022 (Actual 93 Controles---Antes 112 controles)</t>
  </si>
  <si>
    <t>"Declaración de Aplicabilidad - 2021"</t>
  </si>
  <si>
    <t>c) comparar los controles determinados en 6.1.3 b) con los del Anexo A, y verificar que no
se  pasen por alto controles necesarios;
NOTA 2. El Anexo A contiene una lista amplia de posibles controles de seguridad de la información.. Los usuarios de este documento pueden dirigirse al  Anexo A, y asegurarse que no se pasen por alto los controles necesarios.
NOTA 3 Los controles de seguridad de la información listados en el Anexo A no son exhaustivos y pueden ser necesarios controles de seguridad de la información adicionales.</t>
  </si>
  <si>
    <t>d) producir una declaración de aplicabilidad que contenga:
- los controles necesarios (véanse el numeral 6.1.3 b) y c)) y
- la justificación de las inclusiones, 
- si es necesaria la implementación de controles de seguridad de la información o no, y 
- la justificación para la exclusión de los controles del Anexo A;</t>
  </si>
  <si>
    <t>Se cuenta con el Documento "Declaración de Aplicabilidad - 2021" - Intranet Documentos del Sistema.</t>
  </si>
  <si>
    <t>No se menciona que se deben seleccionar los controles que se tienen dispuestos en la norma ISO 27001. Adicional,  se debe actualizar los controles a la versión 2022 (Actual 93 Controles---Antes 112 controles).
Por otra parten en el documento de Aplicabilidad se debe cambiar el título de Observaciones por Justificación de las Inclusión, y le falta que se describa si requiere aplicarse otro control diferente.</t>
  </si>
  <si>
    <t>*Declaración de Aplicabilidad - 2021"</t>
  </si>
  <si>
    <t>e) formular un plan de tratamiento de riesgos de la seguridad de la información; y</t>
  </si>
  <si>
    <t>f) obtener, de parte de los dueños de los riesgos, la aprobación del plan de tratamiento de riesgos de la seguridad de la información, y la aceptación de los riesgos residuales de la seguridad de la información.</t>
  </si>
  <si>
    <t>La organización debe retener información documentada acerca del proceso de tratamiento de riesgos de la seguridad de la información.</t>
  </si>
  <si>
    <t>NOTA El proceso de apreciación  y tratamiento de riesgos de la seguridad de la información que se presenta en esta Norma se alinea con los principios y directrices genéricas suministradas en la ISO 31000</t>
  </si>
  <si>
    <t>6.2 OBJETIVOS DE SEGURIDAD DE LA INFORMACIÓN Y LA PLANIFICACIÓN PARA ALCANZARLOS</t>
  </si>
  <si>
    <t>La organización debe establecer los objetivos de seguridad de la información en las funciones y
niveles relevantes.</t>
  </si>
  <si>
    <t>Los objetivos de seguridad de la información deben:
a) ser coherentes con la política de seguridad de la información;</t>
  </si>
  <si>
    <t>Se debe documentar en algún documento controlado de la entidad</t>
  </si>
  <si>
    <t>b) ser medibles (si es posible);</t>
  </si>
  <si>
    <t>c) tener en cuenta los requisitos de la seguridad de la información aplicables, y los resultados de la apreciación y del tratamiento de los riesgos;</t>
  </si>
  <si>
    <t>d) ser comunicados; y</t>
  </si>
  <si>
    <t>e) ser actualizados, según sea apropiado.</t>
  </si>
  <si>
    <t>f) esta como información documentada</t>
  </si>
  <si>
    <t>La organización debe retener información documentada sobre los objetivos de la seguridad de la información.</t>
  </si>
  <si>
    <t>Parcialmente se encuentra documentado en el Manual de Seguridad de la Información</t>
  </si>
  <si>
    <t>Cuando se hace la planificación para alcanzar los objetivos de la seguridad de la información, la organización debe determinar:</t>
  </si>
  <si>
    <t>x</t>
  </si>
  <si>
    <t>g) lo que se va a hacer;</t>
  </si>
  <si>
    <t>i) que recursos se requerirán;</t>
  </si>
  <si>
    <t>j) quién será responsable;</t>
  </si>
  <si>
    <t>k) cuando se finalizará; y</t>
  </si>
  <si>
    <t>l) cómo se evaluarán los resultados.</t>
  </si>
  <si>
    <t>6.3. PLANIFICACIÓN DE CAMBIOS</t>
  </si>
  <si>
    <t>Cuando la organización determine la necesidad de cambios en el sistema de gestión
de seguridad de la información, los cambios deben ser llevados a cabo de manera
planeada.</t>
  </si>
  <si>
    <t>*Procedimiento: Administración del Plan de Continuidad del Negocio TIC - GTC-PR-006 V1 de fecha 30/01/2014</t>
  </si>
  <si>
    <t>Se debe fortalecer en lo que respecta a cambios que pueda surgir por el tema de Seguridad de la Información</t>
  </si>
  <si>
    <t>Procedimiento: Administración del Plan de Continuidad del Negocio TIC - GTC-PR-006 V1 de fecha 30/01/2014</t>
  </si>
  <si>
    <r>
      <t>6.1 ACCIONES PARA</t>
    </r>
    <r>
      <rPr>
        <b/>
        <sz val="11"/>
        <color indexed="9"/>
        <rFont val="Calibri"/>
        <family val="2"/>
      </rPr>
      <t xml:space="preserve"> ABORDAR RIESGOS Y OPORTUNIDADES</t>
    </r>
  </si>
  <si>
    <r>
      <t xml:space="preserve">6.2 OBJETIVOS DE SEGURIDAD DE LA INFORMACIÓN Y </t>
    </r>
    <r>
      <rPr>
        <b/>
        <sz val="11"/>
        <color indexed="9"/>
        <rFont val="Calibri"/>
        <family val="2"/>
      </rPr>
      <t>LA PLANIFICACIÓN PARA ALCANZARLOS</t>
    </r>
  </si>
  <si>
    <t>8. OPERACIÓN</t>
  </si>
  <si>
    <t>7.1 RECURSOS</t>
  </si>
  <si>
    <t xml:space="preserve"> Administración del Sistema Integrado de Gestión.
Gestión del Talento Humano
</t>
  </si>
  <si>
    <t>La organización debe determinar y proporcionar los recursos necesarios para:</t>
  </si>
  <si>
    <t>el establecimiento</t>
  </si>
  <si>
    <t>* Manual del Sistema de Seguridad de la Información SIP-MA-0002 versión 002 (Numeral 9.1.1. Soporte)--Tienen un ítem de Recursos pero lo menciona de manera general y no se observa que se determinen recursos para el sistema de seguridad de la información</t>
  </si>
  <si>
    <t>No se evidencia un instrumento donde  se definan los recursos para el establecimiento del Sistema de Seguridad de la Información</t>
  </si>
  <si>
    <t>* Manual del Sistema de Seguridad de la Información SIP-MA-0002 versión 002 (Numeral 9.1.1. Soporte)</t>
  </si>
  <si>
    <t xml:space="preserve"> implementación,</t>
  </si>
  <si>
    <t>mantenimiento,</t>
  </si>
  <si>
    <t>mejora continua del sistema de gestión de la seguridad de la información.</t>
  </si>
  <si>
    <t>7.2 COMPETENCIA</t>
  </si>
  <si>
    <t xml:space="preserve"> Administración del Sistema Integrado de Gestión.
Gestión del Talento Humano / Adquisición de Bienes y Servicios
Gestión de Tecnología de la Información y las Comunicaciones</t>
  </si>
  <si>
    <t>La organización debe:</t>
  </si>
  <si>
    <t>a) determinar la competencia necesaria de las personas que realizan, bajo su control, un trabajo que afecta su desempeño de la seguridad de la información, y</t>
  </si>
  <si>
    <t>* Manual del Sistema de Seguridad de la Información SIP-MA-0002 versión 002 (Numeral 9.1.1. Soporte)--Tienen un ítem de Competencia pero lo menciona de manera general.</t>
  </si>
  <si>
    <r>
      <t>No se evidencia instrumento donde  se defina las Competencias para el Sistema de seguridad de la información;</t>
    </r>
    <r>
      <rPr>
        <sz val="8"/>
        <color indexed="10"/>
        <rFont val="Calibri"/>
        <family val="2"/>
      </rPr>
      <t xml:space="preserve"> s</t>
    </r>
    <r>
      <rPr>
        <sz val="8"/>
        <color indexed="10"/>
        <rFont val="Calibri"/>
        <family val="2"/>
      </rPr>
      <t>in embargo, se debe validar con lo establecido en Talento Humano.</t>
    </r>
  </si>
  <si>
    <t>b) asegurarse de que estas personas sean competentes, basándose en la educación, formación o experiencia adecuadas;</t>
  </si>
  <si>
    <t>c) cuando sea aplicable, tomar acciones para adquirir la competencia necesaria y evaluar la eficacia de las acciones tomadas; y</t>
  </si>
  <si>
    <t>d) conservar la información documentada apropiada, como evidencia de la competencia.</t>
  </si>
  <si>
    <t>NOTA Las acciones aplicables pueden incluir, por ejemplo: la formación, la tutoría o la reasignación de las personas empleadas actualmente; o la contratación de personas competentes.</t>
  </si>
  <si>
    <t>7.3 TOMA DE CONCIENCIA</t>
  </si>
  <si>
    <t>Todos los procesos
 Administración del Sistema Integrado de Gestión.
Gestión de Tecnología de la Información y las Comunicaciones
Comunicación Interna</t>
  </si>
  <si>
    <t>Las personas que realizan el trabajo bajo el control de la organización deben tomar conciencia de:</t>
  </si>
  <si>
    <t>a) la política de la seguridad de la información;</t>
  </si>
  <si>
    <t>* Manual del Sistema de Seguridad de la Información SIP-MA-0002 versión 002 (Numeral 9.1.1. Soporte--Tienen un ítem de Toma de Conciencia pero lo menciona de manera general.</t>
  </si>
  <si>
    <t>No se evidencia instrumento donde se tenga definido las estrategias que la entidad adoptara para la toma de conciencia del Sistema de Seguridad de la Información</t>
  </si>
  <si>
    <t>b) su contribución a la eficacia del sistema de gestión de la seguridad de la información, incluyendo los beneficios de una mejora del desempeño de la seguridad de la información; y</t>
  </si>
  <si>
    <t>Alinear plan de trabajo de contratistas con plan de general de capacitaciones</t>
  </si>
  <si>
    <t>c) las implicaciones de la no conformidad con los requisitos del sistema de gestión de la seguridad de la información.</t>
  </si>
  <si>
    <t>7.4 COMUNICACIÓN</t>
  </si>
  <si>
    <t xml:space="preserve"> Administración del Sistema Integrado de Gestión.
Gestión de Tecnología de la Información y las Comunicaciones
Comunicación Interna</t>
  </si>
  <si>
    <t>La organización debe determinar la necesidad de comunicaciones internas y externas pertinentes al sistema de gestión de la seguridad de la información, que incluyan:</t>
  </si>
  <si>
    <t>a) el contenido de la comunicación;</t>
  </si>
  <si>
    <t>* Manual del Sistema de Seguridad de la Información SIP-MA-0002 versión 002 (Numeral 9.1.1. Soporte--Tienen un ítem de Comunicación pero lo menciona de manera general.
* Procedimiento "Difusión de mensajes de comunicación Interna"-Código CIN-PR-002 Vr 3 de fecha 16/05/2022; contempla ítems pero en el momento de usarlo se debe contemplar lo requerido para la norma ISO 27001
* Plan Estratégico de Comunicación Institucional - Código CIN-PL-001, Versión 002 de fecha 11/05/2022, este documento contempla las estrategias trazadas por la entidad en lo referencia a la comunicación interna para las vigencias de 2022 al 2025.
*  Manual del Sistema Integrado de Gestión - Código SIP-MA-001 versión  10 de fecha 26/04/2024, cuenta con un numeral  11. Comunicación; en este ítem describe los medios de comunicación .</t>
  </si>
  <si>
    <t>Se debe contar con un plan de comunicación programado sobre el sistema de seguridad de la información con el cual hacer seguimiento; así mismo debe contemplar:
*El contenido de la comunicación
*Cuando comunicar
*A quien comunicar
* Quien debe comunicar
*Los procesos que se llevan a cabo para la comunicación</t>
  </si>
  <si>
    <t>* Manual del Sistema de Seguridad de la Información SIP-MA-0002 versión 002 
* Procedimiento "Difusión de mensajes de comunicación Interna"-Código CIN-PR-002 Vr 3 de fecha 16/05/2022.
* Plan Estratégico de Comunicación Institucional - Código CIN-PL-001, Versión 002 de fecha 11/05/2022.
*  Manual del Sistema Integrado de Gestión - Código SIP-MA-001 versión  10 de fecha 26/04/2024,</t>
  </si>
  <si>
    <t>b) cuándo comunicar;</t>
  </si>
  <si>
    <t>c) a quién comunicar;</t>
  </si>
  <si>
    <t>d) quién debe comunicar; y</t>
  </si>
  <si>
    <t>e) los procesos para llevar a cabo la comunicación.</t>
  </si>
  <si>
    <t>7.5 INFORMACIÓN DOCUMENTADA</t>
  </si>
  <si>
    <t xml:space="preserve">
Gestión de Tecnología de la Información y las Comunicación Interna
 Administración del Sistema Integrado de Gestión.
Los procesos que impacten el sistema de seguridad de la información</t>
  </si>
  <si>
    <r>
      <t xml:space="preserve">7.5.1 Generalidades
</t>
    </r>
    <r>
      <rPr>
        <sz val="8"/>
        <rFont val="Calibri"/>
        <family val="2"/>
      </rPr>
      <t>El sistema de gestión de la seguridad de la información de la organización debe incluir:</t>
    </r>
  </si>
  <si>
    <t>a) la información documentada requerida por esta Norma; y</t>
  </si>
  <si>
    <t>* Manual del Sistema de Seguridad de la Información SIP-MA-0002 versión 002 (Numeral 9.1.1. Soporte--Tienen un ítem de Información Documentada pero lo menciona de manera general.</t>
  </si>
  <si>
    <t>Se debe evaluar los documentos existentes con el fin de determinar que se puede adicionar de lo requerido por la norma; así mismo los demás documentos que apalancaran el cumplimiento de la misma.</t>
  </si>
  <si>
    <t xml:space="preserve">* Manual del Sistema de Seguridad de la Información SIP-MA-0002 versión 002 </t>
  </si>
  <si>
    <t>b) la información documentada que la organización ha determinado que es necesaria para la eficacia del sistema de gestión de la seguridad de la información.</t>
  </si>
  <si>
    <t>NOTA: El alcance de la información documentada para un sistema de gestión de la seguridad de la información puede ser diferente de una organización a otra, debido a:
a) el tamaño de la organización y a su tipo de actividades, procesos, productos y servicios,
b) la complejidad de los procesos y sus interacciones, y
c) la competencia de las personas.</t>
  </si>
  <si>
    <t>7.5.2 Creación y actualización</t>
  </si>
  <si>
    <t xml:space="preserve">Direccionamiento Estratégico
Gestión Documental
Gestión de tecnologías de la Información </t>
  </si>
  <si>
    <t>Cuando se crea y actualiza información documentada, la organización debe asegurarse de que lo siguiente sea apropiado:</t>
  </si>
  <si>
    <t>a) la identificación y descripción (por ejemplo, título, fecha, autor o número de referencia);</t>
  </si>
  <si>
    <t>*Manual del Sistema de Seguridad de la Información SIP-MA-0002 versión 002 (Numeral 9.1.1. Soporte--Tienen un ítem de Información Documentada pero lo menciona de manera general.
*Se cuenta con el Procedimiento "Elaboración, Actualización y Control de Información Documentada" - Código SIP-PR-001, Versión 005 de fecha 09/02/2021</t>
  </si>
  <si>
    <t>Sin embargo, se debe estar muy atento, con la actualización de los documentos que se han revisado y la creación de los nuevos documentos del sistema de seguridad de la información, adicional el impacto en otros documentos a los cuales se referencian.</t>
  </si>
  <si>
    <t>b) el formato (por ejemplo, idioma, versión del software, gráficos) y sus medios de soporte
(por ejemplo, papel, electrónico);</t>
  </si>
  <si>
    <t>c) la revisión y aprobación con respecto a la idoneidad y adecuación.</t>
  </si>
  <si>
    <t>7.5.3 Control de la información documentada</t>
  </si>
  <si>
    <t xml:space="preserve">Direccionamiento Estratégico 
Gestión Documental
Gestión de Tecnologías de la información </t>
  </si>
  <si>
    <t>La información documentada requerida por el sistema de gestión de la seguridad de la información y por esta Norma se debe controlar para asegurarse de que:</t>
  </si>
  <si>
    <t>a) esté disponible y adecuada para su uso, donde y cuando se necesite; y</t>
  </si>
  <si>
    <t>Sin embargo, se debe estar muy atento, con la actualización de los documentos que se han revisado y la creación de los nuevos documentos del sistema de seguridad de la información; adicional el impacto en otros documentos a los cuales se referencian.</t>
  </si>
  <si>
    <t>b) esté protegida adecuadamente (por ejemplo, contra pérdida de la confidencialidad, uso inadecuado, o pérdida de integridad).</t>
  </si>
  <si>
    <t>Para el control de la información documentada, la organización debe tratar las siguientes actividades, según sea aplicable:
c) distribución, acceso, recuperación y uso;</t>
  </si>
  <si>
    <t>d) almacenamiento y preservación, incluida la preservación de la legibilidad;</t>
  </si>
  <si>
    <t>e) control de cambios (por ejemplo, control de versión); y</t>
  </si>
  <si>
    <t>f) retención y disposición.</t>
  </si>
  <si>
    <t>La información documentada de origen externo, que la organización ha determinado que es necesaria para la planificación y operación del sistema de gestión de la seguridad de la información, se debe identificar y controlar, según sea adecuado.</t>
  </si>
  <si>
    <t>NOTA El acceso implica una decisión concerniente al permiso solamente para consultar la información documentada, o el permiso y la autoridad para consultar y modificar la información documentada, etc.</t>
  </si>
  <si>
    <t>8.1 PLANIFICACIÓN Y CONTROL OPERACIONAL</t>
  </si>
  <si>
    <t>Todos los procesos
 Administración del Sistema Integrado de Gestión.
Gestión de Tecnología de la Información y las Comunicaciones</t>
  </si>
  <si>
    <t>La organización debe planificar, implementar y controlar los procesos necesarios para cumplir los requisitos de seguridad de la información y para implementar las acciones determinadas en el numeral 6.1. La organización también debe implementar planes para lograr los objetivos de la seguridad de la información determinados en el numeral 6.2.</t>
  </si>
  <si>
    <t>La organización debe mantener información documentada en la medida necesaria para tener la confianza en que los procesos se han llevado a cabo según lo planificado.</t>
  </si>
  <si>
    <t>"Manual del Sistema de Gestión de Seguridad de la Información " SIP -MA-002 Vr, 2 de 2021 (Numeral 9.2.1 Operacional, se cuenta con un ítem de Planificación y control Operacional, pero lo descrito no apunta lo requerido por la norma.</t>
  </si>
  <si>
    <t>En los documentos revisados, no se observa que se haya planificado, implementado y controlado las necesidades de los requisitos de sistema de seguridad de la información; así como la determinación de los riesgos y oportunidades del mismo.</t>
  </si>
  <si>
    <t>"Manual del Sistema de Gestión de Seguridad de la Información " SIP -MA-002 Vr, 2 de 2021</t>
  </si>
  <si>
    <t>La organización debe controlar los cambios planificados y revisar las consecuencias de los cambios no previstos, tomando acciones para mitigar los efectos adversos, cuando sea necesario.</t>
  </si>
  <si>
    <t>La organización debe asegurar que los procesos contratados externamente estén controlados.</t>
  </si>
  <si>
    <t>8.2 VALORACIÓN DE RIESGOS DE LA SEGURIDAD DE LA INFORMACIÓN</t>
  </si>
  <si>
    <t>La organización debe llevar a cabo valoraciones de riesgos de la seguridad de la información a intervalos planificados o cuando se propongan u ocurran cambios significativos, teniendo en cuenta los criterios establecidos en el numeral 6.1.2 a).</t>
  </si>
  <si>
    <t xml:space="preserve">*Manual del Sistema de Gestión de Seguridad de la Información " SIP -MA-002 Vr, 2 de 2021 (Numeral 9.2.1 Operacional), se describe ítem Valoración de los Riesgos de Seguridad de la Información, se indica que el ejercicio se realizará de anualmente, pero no hay evidencia de esto
*Administración del Riesgo, código SIP-PR-007, VERSIÓN 006 DE FECHA 24/01/2024, en la actividad 4 . Trata de la Valorar los Riesgos.
*Procedimiento "Administración del Riesgo"- Código SIP-PR-007, versión 006 de fecha: 22/01/2024, en el punto 7, Descripción y  actividad 4. Valorar Riesgos, se habla en general pero no se detalla para los riesgos de seguridad de la información.
</t>
  </si>
  <si>
    <t>Una vez se identifiquen riesgos de seguridad se deben valorar, de acuerdo a los activos de información, para ser documentados en los momentos que se presenten cambios significativos en la entidad</t>
  </si>
  <si>
    <t>"Manual del Sistema de Gestión de Seguridad de la Información " SIP -MA-002 Vr, 2 de 2021
*Administración del Riesgo, código SIP-PR-007, VERSIÓN 006 DE FECHA 24/01/2024,</t>
  </si>
  <si>
    <t>La organización debe conservar información documentada de los resultados de las
valoraciones de riesgos de la seguridad de la información.</t>
  </si>
  <si>
    <t>No se cuenta con algún documento reflejo de esta actividad</t>
  </si>
  <si>
    <t>No se observa documentación</t>
  </si>
  <si>
    <t xml:space="preserve">8.3 TRATAMIENTO DE RIESGOS DE LA SEGURIDAD DE LA INFORMACIÓN
</t>
  </si>
  <si>
    <t>La organización debe implementar el plan de tratamiento de riesgos de la seguridad de la
información.</t>
  </si>
  <si>
    <t>*Manual del Sistema de Gestión de Seguridad de la Información " SIP -MA-002 Vr, 2 de 2021 (Numeral 9.2.1 Operacional, se cuenta con ítem de Tratamiento de los Riesgos de seguridad de la Información, pero no se observa que se haya implementado.
*Procedimiento "Administración del Riesgo"- Código SIP-PR-007, versión 006 de fecha: 22/01/2024, en el punto 7, Descripción y  actividad 5</t>
  </si>
  <si>
    <t>Implementar el plan de tratamiento de riesgos de seguridad de la información</t>
  </si>
  <si>
    <t>*Manual del Sistema de Gestión de Seguridad de la Información - SIP -MA-002 Vr, 2 de 2021.
*
*Procedimiento "Administración del Riesgo"- Código SIP-PR-007, versión 006 de fecha: 22/01/2024</t>
  </si>
  <si>
    <t>La organización debe conservar información documentada de los resultados del tratamiento de riesgos de la seguridad de la información.</t>
  </si>
  <si>
    <t xml:space="preserve">No se cuenta documentado </t>
  </si>
  <si>
    <t>8.3 TRATAMIENTO DE RIESGOS DE LA SEGURIDAD DE LA INFORMACIÓN</t>
  </si>
  <si>
    <t>NUMERALES DE LA NORMA</t>
  </si>
  <si>
    <t>% IMPLEMENTACIÓN</t>
  </si>
  <si>
    <t>6 PLANIFICACIÓN PARA EL SISTEMA DE GESTIÓN DE LA CALIDAD</t>
  </si>
  <si>
    <t>7 SOPORTE</t>
  </si>
  <si>
    <t>8 .OPERACIÓN</t>
  </si>
  <si>
    <t>9 EVALUACIÓN DEL DESEMPEÑO</t>
  </si>
  <si>
    <t>10. MEJORA</t>
  </si>
  <si>
    <t>CONTROLES ANEXO A</t>
  </si>
  <si>
    <t xml:space="preserve">TOTAL GENERAL </t>
  </si>
  <si>
    <t>9.1 MONITOREO, MEDICIÓN, ANALISIS Y EVALUACIÓN</t>
  </si>
  <si>
    <t xml:space="preserve"> Administración del Sistema Integrado de Gestión.
Gestión de Tecnología de la Información y las Comunicaciones
</t>
  </si>
  <si>
    <t>La organización debe determinar:  
a) a qué es necesario hacer seguimiento y qué es necesario medir, incluidos los procesos y controles de la seguridad de la información;</t>
  </si>
  <si>
    <t>*Manual del Sistema de Gestión de Seguridad de la Información " SIP -MA-002 Vr, 2 de 2021 (Numeral 9.3.1 Evaluación del Desempeño), se observa un Ítem de Seguimiento, medición, análisis y Evaluación; en este se indica la responsabilidad del seguimiento a los indicadores trazados y la verificación de los objetivos pero no se cuenta con evidencia de la ejecución de estos requisitos</t>
  </si>
  <si>
    <t>Se debe dejar documentado en algún instrumento: a que se le va hacer seguimiento, incluido procesos y controles. Métodos de seguimiento, análisis, evaluación cuando se realizará la medición y seguimiento, quien ejecutará las acciones de seguimiento y medición, cuando se realizara el análisis y evaluación de los resultados .</t>
  </si>
  <si>
    <t>*Manual del Sistema de Gestión de Seguridad de la Información " SIP -MA-002 Vr, 2 de 2021 (Numeral 9.3.1 Evaluación del Desempeño)</t>
  </si>
  <si>
    <t>b) los métodos de seguimiento, medición, análisis y evaluación, según sea aplicable, para asegurar resultados válidos;
NOTA Para ser considerados válidos, los métodos seleccionados deberían producir resultados comparables y reproducibles.</t>
  </si>
  <si>
    <t>c) cuándo se debe llevar a cabo el seguimiento y la medición;</t>
  </si>
  <si>
    <t>d) quién debe llevar a cabo el seguimiento y la medición;</t>
  </si>
  <si>
    <t>e) cuando se deben analizar y evaluar los resultados del seguimiento y la medición;</t>
  </si>
  <si>
    <t>f) quién debe analizar y evaluar estos resultados.</t>
  </si>
  <si>
    <t xml:space="preserve">La información documentada debe ser retenida como evidencia de los resultados.
</t>
  </si>
  <si>
    <t xml:space="preserve">
La organización debe evaluar el desempeño y efectividad del sistema de gestión de seguridad de la  Información.</t>
  </si>
  <si>
    <t>9.2 AUDITORÍA INTERNA</t>
  </si>
  <si>
    <t xml:space="preserve"> Administración del Sistema Integrado de Gestión.
Gestión de Tecnología de la Información y las Comunicaciones
Control Interno </t>
  </si>
  <si>
    <t xml:space="preserve">
9.2.1 Generalidades</t>
  </si>
  <si>
    <t>La organización debe llevar a cabo auditorías internas a intervalos planificados, para proporcionar información acerca de si el sistema de gestión de la seguridad de la información:</t>
  </si>
  <si>
    <t>*Manual del Sistema de Gestión de Seguridad de la Información " SIP -MA-002 Vr, 2 de 2021 (Numeral 9.3.1 Evaluación del Desempeño), se describe un ítem "Auditoria Interna", se indica que se debe realizar anualmente, pero no describe quien debe realizar esta actividad.</t>
  </si>
  <si>
    <t>Esta actividad  se debe programar una vez se cuente con la  implementación del sistema, incluyendo la parte documental y socialización  al interior de la entidad, con el fin de ir validando el avance en esta materia.</t>
  </si>
  <si>
    <t>*Manual del Sistema de Gestión de Seguridad de la Información " SIP -MA-002 Vr, 2 de 2021 .</t>
  </si>
  <si>
    <t>a) es conforme con:
1) los propios requisitos de la organización para su sistema de gestión de la
seguridad de la información; y
2) los requisitos de esta Norma;</t>
  </si>
  <si>
    <t>b) esta implementado y mantenido efectivamente</t>
  </si>
  <si>
    <t>9.2.2 Programa de auditoría Interna</t>
  </si>
  <si>
    <t>La organización debe planificar, establecer, implementar y mantener uno o varios programas de auditoría que incluyan la frecuencia, los métodos, las responsabilidades, los requisitos de planificación, y la elaboración de informes.
Cuando los programas de auditoría se establezcan en la organización debe considerar la importancia de los procesos involucrados y los resultados de las auditorías previas;</t>
  </si>
  <si>
    <t>*Manual del Sistema de Gestión de Seguridad de la Información " SIP -MA-002 Vr, 2 de 2021 (Numeral 9.3.1 Evaluación del Desempeño), se describe un ítem "Auditoria Interna", se indica que se debe realizar anualmente, pero no describe quien debe realizar esta actividad; sin embargo, en el último año no se ha realizado alguna auditoria sobre el asunto.
*Procedimiento "Auditoria Interna" Código CIT-PR-001 versión 004 de fecha 20/09/2019</t>
  </si>
  <si>
    <t xml:space="preserve">Esta actividad se debe programar una vez se cuente con la implementación del sistema, incluyendo la parte documental y socialización  al interior de la entidad, con el fin de ir validando el avance en esta materia.
Si bien el proceso de Control Interno tiene establecido un Programa de Auditoria Interna, para esta vigencia se tiene contemplado es un Diagnóstico de Implementación, para futuros ejercicios se debe determinar y asignar la responsabilidad de la ejecución de la auditoria a este sistema de gestión; con el fin de se coordine estas auditorias y solicitudes de inclusión en el Plan Anual de Auditorias que es consolidado por Control Interno. </t>
  </si>
  <si>
    <t>*Manual del Sistema de Gestión de Seguridad de la Información " SIP -MA-002 Vr, 2 de 2021 .
* Procedimiento "Auditoria Interna" Código CIT-PR-001 versión 004 de fecha 20/09/2019</t>
  </si>
  <si>
    <t>La organización debe:
a) definir los criterios y el alcance de cada auditoría;</t>
  </si>
  <si>
    <t>b) seleccionar auditores y llevar acabo auditorias para asegurarse la objetividad y la imparcialidad del proceso de auditoría.</t>
  </si>
  <si>
    <t>c) asegurarse de que los resultados de las auditorías se informan a la dirección pertinente; y</t>
  </si>
  <si>
    <t>d) conservar información documentada como evidencia de la implementación del programa de auditoría y de los resultados de ésta.</t>
  </si>
  <si>
    <t>NOTA Para mayor información consultar las normas NTC-ISO 19011 y NTC-ISO 27007</t>
  </si>
  <si>
    <t>9.3 REVISIÓN POR LA DIRECCIÓN</t>
  </si>
  <si>
    <t>Administración del Sistema Integrado de Gestión.
Gestión de Tecnología de la Información y las Comunicaciones</t>
  </si>
  <si>
    <t xml:space="preserve">
9.3.1 Generalidades</t>
  </si>
  <si>
    <t>La alta dirección debe revisar el sistema de gestión de la seguridad de la información de la organización a intervalos planificados, para asegurarse de su conveniencia, adecuación y efectividad.</t>
  </si>
  <si>
    <t>*Manual del Sistema de Gestión de Seguridad de la Información " SIP -MA-002 Vr, 2 de 2021 (Numeral 9.3.1 Evaluación del Desempeño), se describe un ítem "Revisión por la Dirección".
* Manual del Sistema Integrado de Gestión - Código SIP-MA-001 versión  10 de fecha 26/04/2024,- En el numeral 9, Responsabilidades del SIG, se indica que Representante de la Alta Dirección "Revisar el Modelo Integrado de Planeación y Gestión -MIPG y Sistema Integrado de Gestión de su función continua consistencia, adecuación , eficiencia, eficacia y efectivada, realizar seguimiento de los procesos y resultados"</t>
  </si>
  <si>
    <t xml:space="preserve">En el ejercicio de revisión, no se obtuvo evidencia de que esto se haya realizado, por lo que se debe implementar estas revisiones con el fin de validar el compromiso de la Alta Dirección con este sistema.
</t>
  </si>
  <si>
    <t xml:space="preserve">*Manual del Sistema de Gestión de Seguridad de la Información " SIP -MA-002 Vr, 2 de 2021 (Numeral 9.3.1 Evaluación del Desempeño), se describe un ítem "Revisión por la Dirección",
* Manual del Sistema Integrado de Gestión - Código SIP-MA-001 versión  10 de fecha 26/04/2024,- </t>
  </si>
  <si>
    <t>9.3.2 Entradas de la revisión por la dirección</t>
  </si>
  <si>
    <t>La revisión por la dirección debe incluir consideraciones sobre:
a) el estado de las acciones con relación a las revisiones previas por la dirección;</t>
  </si>
  <si>
    <t>No se cuenta con documentación sobre este tema.</t>
  </si>
  <si>
    <t>Es importante que en las  futuras revisiones por la Dirección, se deben contemplarse todas las entradas descritas en este numeral.</t>
  </si>
  <si>
    <t>b) los cambios en las cuestiones externas e internas que sean pertinentes al sistema de gestión de la seguridad de la información;</t>
  </si>
  <si>
    <t>c) cambios en las necesidades y expectativas de las partes interesadas que son relevantes para el sistema de seguridad de la información.</t>
  </si>
  <si>
    <t>d) retroalimentación sobre el desempeño de la seguridad de la información, incluidas las tendencias relativas a:</t>
  </si>
  <si>
    <t xml:space="preserve">   1. no conformidades y acciones correctivas;</t>
  </si>
  <si>
    <t xml:space="preserve">   2. seguimiento y resultados de las mediciones;</t>
  </si>
  <si>
    <t xml:space="preserve">   3. resultados de la auditoría; y</t>
  </si>
  <si>
    <t xml:space="preserve">   4. cumplimiento de los objetivos de la seguridad de la información;</t>
  </si>
  <si>
    <t>e) retroalimentación de las partes interesadas;</t>
  </si>
  <si>
    <t>f) resultados de la apreciación  de riesgos y estado del plan de tratamiento de riesgos; y</t>
  </si>
  <si>
    <t>g) las oportunidades de mejora continúa.</t>
  </si>
  <si>
    <t>9.3.3  Resultados de la revisión por la Dirección</t>
  </si>
  <si>
    <t>Los resultados de la revisión por la dirección deben incluir las decisiones relacionadas con las oportunidades de mejora continua y cualquier necesidad de cambio en el sistema de gestión de la seguridad de la información.</t>
  </si>
  <si>
    <t>Se debe dejar documentada, las decisiones tomadas y las oportunidades de mejora y en general los resultados obtenidos de la revisión.</t>
  </si>
  <si>
    <t>Información documentada debe ser retenida como evidencia de los resultados de las revisiones por la dirección.</t>
  </si>
  <si>
    <t>Documentos Asociados</t>
  </si>
  <si>
    <t>10.1 MEJORA CONTINUA</t>
  </si>
  <si>
    <t>Todos los procesos 
Gestión de Tecnología de la Información y las Comunicaciones</t>
  </si>
  <si>
    <t>La organización debe mejorar continuamente la sostenibilidad, adecuación y efectividad del sistema de gestión de la seguridad de la información.</t>
  </si>
  <si>
    <t xml:space="preserve">
* *Manual del Sistema de Gestión de Seguridad de la Información " SIP -MA-002 Vr, 2 de 2021 (Numeral 9.4.1 Evaluación del Desempeño ), se describe un ítem "Mejora Continua", se menciona de manera general</t>
  </si>
  <si>
    <t>Aunque se describe de manera general algo sobre la mejora, no se evidencia que esto se haya evaluado y haya impactado el sistema.</t>
  </si>
  <si>
    <t xml:space="preserve">
* *Manual del Sistema de Gestión de Seguridad de la Información " SIP -MA-002 Vr, 2 de 2021</t>
  </si>
  <si>
    <t>10.1 NO CONFORMIDADES</t>
  </si>
  <si>
    <t xml:space="preserve"> Y ACCIONES CORRECTIVAS</t>
  </si>
  <si>
    <t>10.2 NO CONFORMIDAD Y ACCIÓN CORRECTIVA</t>
  </si>
  <si>
    <t>Todos los procesos lo aplican.
Gestión de Tecnología de la Información y las Comunicaciones
Control Interno</t>
  </si>
  <si>
    <t>Cuando ocurra una no conformidad, la organización debe:</t>
  </si>
  <si>
    <t>a) reaccionar ante la no conformidad, y según sea aplicable
   1. tomar acciones para controlarla y corregirla, y
   2. hacer frente a las consecuencias;</t>
  </si>
  <si>
    <t>* *Manual del Sistema de Gestión de Seguridad de la Información " SIP -MA-002 Vr, 2 de 2021 (Numeral 9.4.1 Evaluación del Desempeño ), se describe un ítem "No Conformidades y Acciones Correctivas", se menciona de manera general
*Procedimiento "Formulación Plan de Mejoramiento" - Código CIT-PR-002, Versión 004, de fecha: 10/09/2019; se indica los pasos para la generación de un plan de mejora sin importar la fuente.
Sin embargo, no se describe la actividad de realización y evaluación de la eficacia de las acciones.</t>
  </si>
  <si>
    <t xml:space="preserve">En el Instrumento de Procedimiento de Plan de Mejoramiento, se debe incluir el tema de evaluación de eficacias de las acciones tomadas.
Adicional en algún instrumento, se debe definir cuando un hallazgo puede impactar en el cambio del sistema de seguridad de la información, en caso de ser necesario. </t>
  </si>
  <si>
    <t xml:space="preserve">
* *Manual del Sistema de Gestión de Seguridad de la Información " SIP -MA-002 Vr, 2 de 2021
*Procedimiento "Formulación Plan de Mejoramiento" - Código CIT-PR-002, Versión 004, de fecha: 10/09/2019</t>
  </si>
  <si>
    <t>b) evaluar la necesidad de acciones para eliminar las causas de la no conformidad, con el fin de que no vuelva a ocurrir ni ocurra en otra parte, mediante:
      1. la revisión de la no conformidad
      2. la determinación de las causas de la no conformidad, y
      3. la determinación de si existen no conformidades similares, o que potencialmente podrían ocurrir;</t>
  </si>
  <si>
    <t>c) implementar cualquier acción necesaria;</t>
  </si>
  <si>
    <t>d) revisar la eficacia de las acciones correctivas tomadas, y</t>
  </si>
  <si>
    <t>e) hacer cambios al sistema de gestión de la seguridad de la información, si es necesario.</t>
  </si>
  <si>
    <t>Las acciones correctivas deben ser apropiadas a los efectos de las no conformidades encontradas.</t>
  </si>
  <si>
    <t>La organización debe conservar información documentada adecuada, como evidencia de:
f) la naturaleza de las no conformidades y cualquier acción posterior tomada; y</t>
  </si>
  <si>
    <t>g) los resultados de cualquier acción correctiva.</t>
  </si>
  <si>
    <t>CONTROLES ANEXO A ISO 27001:2022</t>
  </si>
  <si>
    <t>CONTROL VR 2013</t>
  </si>
  <si>
    <t>ESTADO DEL CONTROL</t>
  </si>
  <si>
    <t>QUE NOS FALTA/OBSERVACIONES</t>
  </si>
  <si>
    <t>CONTROLES ORGANIZACIONALES</t>
  </si>
  <si>
    <t>5.1</t>
  </si>
  <si>
    <t xml:space="preserve">Políticas de seguridad de la información </t>
  </si>
  <si>
    <r>
      <rPr>
        <b/>
        <sz val="11"/>
        <color indexed="8"/>
        <rFont val="Calibri"/>
        <family val="2"/>
      </rPr>
      <t xml:space="preserve">Control 
</t>
    </r>
    <r>
      <rPr>
        <sz val="11"/>
        <color indexed="8"/>
        <rFont val="ArialMT_3p_21"/>
      </rPr>
      <t xml:space="preserve">La </t>
    </r>
    <r>
      <rPr>
        <sz val="11"/>
        <color indexed="63"/>
        <rFont val="ArialMT_3p_21"/>
      </rPr>
      <t xml:space="preserve">política de seguridad </t>
    </r>
    <r>
      <rPr>
        <sz val="11"/>
        <color indexed="8"/>
        <rFont val="ArialMT_3p_21"/>
      </rPr>
      <t xml:space="preserve">de la información </t>
    </r>
    <r>
      <rPr>
        <sz val="11"/>
        <color indexed="63"/>
        <rFont val="ArialMT_3p_21"/>
      </rPr>
      <t xml:space="preserve">y las políticas específicas asociadas deben ser definidas, aprobadas por la dirección, publicadas, comunicadas y reconocidas por el personal pertinente y partes interesadas pertinentes, y revisadas a intervalos planificados y cuando ocurran cambios significativos en la organización </t>
    </r>
  </si>
  <si>
    <t>A.5.1.1.</t>
  </si>
  <si>
    <t>5.2</t>
  </si>
  <si>
    <t>Roles y responsabilidades en la Seguridad de la Información</t>
  </si>
  <si>
    <r>
      <rPr>
        <b/>
        <sz val="11"/>
        <color indexed="8"/>
        <rFont val="Calibri"/>
        <family val="2"/>
      </rPr>
      <t>Control</t>
    </r>
    <r>
      <rPr>
        <sz val="11"/>
        <color indexed="8"/>
        <rFont val="Calibri"/>
        <family val="2"/>
      </rPr>
      <t xml:space="preserve">
Los roles y responsabilidades de seguridad de la información se deben definir y asignar de acuerdo con las necesidades de la organización</t>
    </r>
  </si>
  <si>
    <r>
      <t xml:space="preserve">A.6.1.1
</t>
    </r>
    <r>
      <rPr>
        <sz val="11"/>
        <color indexed="36"/>
        <rFont val="Calibri"/>
        <family val="2"/>
      </rPr>
      <t>A.9.2.1.</t>
    </r>
  </si>
  <si>
    <t>5.3</t>
  </si>
  <si>
    <t>Segregación de deberes</t>
  </si>
  <si>
    <r>
      <rPr>
        <b/>
        <sz val="11"/>
        <color indexed="8"/>
        <rFont val="Calibri"/>
        <family val="2"/>
      </rPr>
      <t xml:space="preserve">Control </t>
    </r>
    <r>
      <rPr>
        <sz val="11"/>
        <color indexed="8"/>
        <rFont val="Calibri"/>
        <family val="2"/>
      </rPr>
      <t xml:space="preserve">
Los deberes y áreas de responsabilidad en conflicto deberían segregarse</t>
    </r>
  </si>
  <si>
    <t>A.6.1.2</t>
  </si>
  <si>
    <t>5.4</t>
  </si>
  <si>
    <t>Responsabilidades de la dirección</t>
  </si>
  <si>
    <t xml:space="preserve">Control
La Alta Dirección debe exigir a todo el personal la aplicación de la seguridad de la Información de acuerdo con la política de seguridad de la Información establecida, las políticas y los procedimientos específicos de la organización en los aspectos correspondientes. </t>
  </si>
  <si>
    <t xml:space="preserve">A.6.1.1
</t>
  </si>
  <si>
    <t>5.5</t>
  </si>
  <si>
    <t xml:space="preserve">Contacto con las autoridades </t>
  </si>
  <si>
    <t xml:space="preserve">Control 
La organización debe establecer y mantener contacto con las autoridades pertinentes. </t>
  </si>
  <si>
    <t>A.6.1.3</t>
  </si>
  <si>
    <t>5.6</t>
  </si>
  <si>
    <t>Contacto con grupos de interés especial</t>
  </si>
  <si>
    <t>Control
 La organización debe establecer y mantener contacto con grupos de interés especial u otros foros y asociaciones profesionales especializados en Seguridad</t>
  </si>
  <si>
    <t>A.6.1.4</t>
  </si>
  <si>
    <t>5.7</t>
  </si>
  <si>
    <t>Inteligencia de amenazas</t>
  </si>
  <si>
    <t>Control
La información relativa a las amenazas a la seguridad de la información se debe recopilar y analizar para producir inteligencia de las amenazas.</t>
  </si>
  <si>
    <t>Nuevo</t>
  </si>
  <si>
    <t>5.8</t>
  </si>
  <si>
    <t>Seguridad de la Información en la gestión de proyectos</t>
  </si>
  <si>
    <t>Control 
La seguridad de la información se debe integrar en la gestión de proyectos</t>
  </si>
  <si>
    <t>A.6.1.5</t>
  </si>
  <si>
    <t>5.9</t>
  </si>
  <si>
    <t>Inventario de información y otros activos asociados</t>
  </si>
  <si>
    <t>Control 
Se debe elaborar y mantener un inventario de la información y otros activos asociados, incluidos los propietarios</t>
  </si>
  <si>
    <t>A.8.1.1</t>
  </si>
  <si>
    <t>5.10</t>
  </si>
  <si>
    <t>Uso aceptable de la información y otros activos asociados</t>
  </si>
  <si>
    <t>Control
Se deben identificar, documentar y implementar normas para el uso aceptable y procedimientos para el tratamiento de la información y otros activos asociados.</t>
  </si>
  <si>
    <t>A.8.1.3</t>
  </si>
  <si>
    <t>5.11</t>
  </si>
  <si>
    <t>Devolución de activos</t>
  </si>
  <si>
    <t>Control 
El personal y otras partes interesadas, según corresponda, deben devolver todos los activos de la organización en su posesión al cambiar o terminar su empleo, contrato o acuerdo</t>
  </si>
  <si>
    <t>A.8.1.4</t>
  </si>
  <si>
    <t>5.12</t>
  </si>
  <si>
    <t>Clasificación de la información</t>
  </si>
  <si>
    <t>Control
 La información se debe clasificar de acuerdo con las necesidades de seguridad de la información de la organización sobre la base de la confidencialidad, la integridad, la disponibilidad y los requisitos pertinentes de las partes interesadas</t>
  </si>
  <si>
    <t>A.8.2.1
A.8.2.3</t>
  </si>
  <si>
    <t>5.13</t>
  </si>
  <si>
    <t>Etiquetado de la información</t>
  </si>
  <si>
    <t>Control
Se debe elaborar y implementar un conjunto adecuado de procedimientos para el etiquetado de la información de conformidad con el sistema de clasificación de la información adoptado por la organización.</t>
  </si>
  <si>
    <t>A.8.2.2</t>
  </si>
  <si>
    <t>5.14</t>
  </si>
  <si>
    <t xml:space="preserve">Transferencia de información </t>
  </si>
  <si>
    <t xml:space="preserve">Control 
Las reglas, procedimientos o acuerdos de transferencia de información deben estar vigentes para todos los tipos de instalaciones de transferencia dentro de la organización y entre la organización y otras partes. </t>
  </si>
  <si>
    <t>A.13.2.1</t>
  </si>
  <si>
    <t>5.15</t>
  </si>
  <si>
    <t xml:space="preserve">Control de acceso </t>
  </si>
  <si>
    <t>Control 
Las normas para controlar el acceso físico y lógico a la información y otros activos asociados se deben establecer e implementar sobre la base de los requisitos de seguridad empresarial y de la información</t>
  </si>
  <si>
    <t>A.9.1.1
A.9.2.2</t>
  </si>
  <si>
    <t>5.16</t>
  </si>
  <si>
    <t>Gestión de identidades</t>
  </si>
  <si>
    <t>Control 
Se debe gestionar el ciclo de vida completo de las identidades.</t>
  </si>
  <si>
    <t>A.9.2.3</t>
  </si>
  <si>
    <t>5.17</t>
  </si>
  <si>
    <t>Información de autenticación</t>
  </si>
  <si>
    <t>Control 
La asignación y gestión de la información de autenticación se debe controlar mediante un proceso de gestión, incluido el asesoramiento al personal sobre el manejo adecuado de la información de autenticación.</t>
  </si>
  <si>
    <t>A.9.2.4</t>
  </si>
  <si>
    <t>5.18</t>
  </si>
  <si>
    <r>
      <t xml:space="preserve">Control </t>
    </r>
    <r>
      <rPr>
        <sz val="11"/>
        <color indexed="63"/>
        <rFont val="ArialMT_3p_22"/>
      </rPr>
      <t xml:space="preserve">Los derechos de </t>
    </r>
    <r>
      <rPr>
        <sz val="11"/>
        <color indexed="8"/>
        <rFont val="ArialMT_3p_22"/>
      </rPr>
      <t xml:space="preserve">acceso </t>
    </r>
    <r>
      <rPr>
        <sz val="11"/>
        <color indexed="63"/>
        <rFont val="ArialMT_3p_22"/>
      </rPr>
      <t xml:space="preserve">a la información y otros activos asociados se deben aprovisionar, revisar, modificar y eliminar de acuerdo con la política y reglas específicas de la organización para </t>
    </r>
    <r>
      <rPr>
        <sz val="11"/>
        <color indexed="8"/>
        <rFont val="ArialMT_3p_22"/>
      </rPr>
      <t xml:space="preserve">el control de </t>
    </r>
    <r>
      <rPr>
        <sz val="11"/>
        <color indexed="63"/>
        <rFont val="ArialMT_3p_22"/>
      </rPr>
      <t>acceso</t>
    </r>
    <r>
      <rPr>
        <sz val="11"/>
        <color indexed="8"/>
        <rFont val="ArialMT_3p_22"/>
      </rPr>
      <t>.</t>
    </r>
  </si>
  <si>
    <t>A.9.2.5</t>
  </si>
  <si>
    <t>5.19</t>
  </si>
  <si>
    <t>Seguridad de la información en las relaciones con proveedores</t>
  </si>
  <si>
    <t>Control 
Se deben definir e implementar procesos y procedimientos para gestionar los riesgos de seguridad de la información asociados con el uso de los productos o servicios del proveedor.</t>
  </si>
  <si>
    <t>A.15.1.1</t>
  </si>
  <si>
    <t>5.20</t>
  </si>
  <si>
    <t xml:space="preserve">Abordar la seguridad de la información dentro de los acuerdos con proveedores </t>
  </si>
  <si>
    <t>Control
Los requisitos pertinentes de seguridad de la información se deben establecer y acordar con cada proveedor en función del tipo de relación con el proveedor</t>
  </si>
  <si>
    <t>A.15.1.2</t>
  </si>
  <si>
    <t>5.21</t>
  </si>
  <si>
    <t>Gestión de seguridad de la información en la cadena de suministro de la tecnología de la información y las telecomunicaciones (TIC)</t>
  </si>
  <si>
    <t>Control 
Se deben definir e implementar procesos y procedimientos para gestionar los riesgos de seguridad de la información asociados a la cadena de suministro de productos y servicios de TIC.</t>
  </si>
  <si>
    <t>A.15.1.3</t>
  </si>
  <si>
    <t>5.22</t>
  </si>
  <si>
    <t xml:space="preserve">Seguimiento, revisión y gestión del cambio de los servicios de los proveedores </t>
  </si>
  <si>
    <t>Control 
La organización debe monitorear, revisar, evaluar y gestionar regularmente el cambio en las prácticas de seguridad de la información de los proveedores y la prestación de servicios.</t>
  </si>
  <si>
    <t>A.15.2.2</t>
  </si>
  <si>
    <t>5.23</t>
  </si>
  <si>
    <t>Seguridad de la información para el uso de servicios en la nube</t>
  </si>
  <si>
    <t>Control 
Los procesos de adquisición, uso, gestión y salida de los servicios en la nube se deben establecer, de acuerdo con los requisitos de seguridad de la información de la organización</t>
  </si>
  <si>
    <t>NUEVO</t>
  </si>
  <si>
    <t>5.24</t>
  </si>
  <si>
    <t>Planificación y preparación de la gestión de incidentes de seguridad de la información</t>
  </si>
  <si>
    <t>Control
La organización debe planificar y preparar la gestión de incidentes de seguridad de la información mediante la definición, el establecimiento y la comunicación de procesos, roles y responsabilidades de gestión de incidentes de seguridad de la información</t>
  </si>
  <si>
    <t>A.16.1.1</t>
  </si>
  <si>
    <t>5.25</t>
  </si>
  <si>
    <t>Evaluación y decisión sobre eventos de seguridad de la información</t>
  </si>
  <si>
    <t>Control 
La organización debe evaluar los eventos de seguridad de la información y debe decidir si clasificarse como incidentes de seguridad de la información</t>
  </si>
  <si>
    <t>A.16.1.4</t>
  </si>
  <si>
    <t>5.26</t>
  </si>
  <si>
    <t xml:space="preserve">Respuesta a incidentes de seguridad de la información </t>
  </si>
  <si>
    <t>Control 
Los incidentes de seguridad de la información se deben responder de conformidad con los procedimientos documentados.</t>
  </si>
  <si>
    <t>A.16.1.5</t>
  </si>
  <si>
    <t>5.27</t>
  </si>
  <si>
    <t>Aprender de los incidentes de seguridad de la información</t>
  </si>
  <si>
    <t xml:space="preserve">Control
Los conocimientos adquiridos a partir de incidentes de seguridad de la información se deben utilizar para reforzar y mejorar los controles de seguridad de la información. </t>
  </si>
  <si>
    <t>A.16.1.6</t>
  </si>
  <si>
    <t>5.28</t>
  </si>
  <si>
    <t>Recopilación de evidencias</t>
  </si>
  <si>
    <t>Control
La organización debe establecer e implementar procedimientos para la identificación, recopilación, adquisición y preservación de evidencia relacionada con eventos de seguridad de la información.</t>
  </si>
  <si>
    <t>A.16.1.7</t>
  </si>
  <si>
    <t>5.29</t>
  </si>
  <si>
    <t>Seguridad de la información durante una interrupción</t>
  </si>
  <si>
    <t>Control 
La organización debe planificar cómo mantener la seguridad de la información en un nivel apropiado durante la interrupción.</t>
  </si>
  <si>
    <t>A.17.1.1</t>
  </si>
  <si>
    <t>5.30</t>
  </si>
  <si>
    <t xml:space="preserve">Preparación de las TIC para la continuidad de negocio </t>
  </si>
  <si>
    <t>Control
La preparación para las TIC se debe planificar, implementar, mantener y probar basado en los objetivos de continuidad del negocio y los requisitos de continuidad de las TIC</t>
  </si>
  <si>
    <t>5.31</t>
  </si>
  <si>
    <t>Requisitos legales, legales, reglamentarios y contractuales</t>
  </si>
  <si>
    <t>Control 
Los requisitos legales, reglamentarios y contractuales pertinentes para la seguridad de la información y el enfoque de la organización para cumplir con estos requisitos se deben identificar, documentar y mantener actualizados.</t>
  </si>
  <si>
    <t>A.18.1.1</t>
  </si>
  <si>
    <t>5.32</t>
  </si>
  <si>
    <t>Derechos de propiedad intelectual</t>
  </si>
  <si>
    <t xml:space="preserve">Control 
La organización debe implementar procedimientos apropiados para proteger derechos de propiedad intelectual. </t>
  </si>
  <si>
    <t>A.18.1.2</t>
  </si>
  <si>
    <t>5.33</t>
  </si>
  <si>
    <t>Protección de registros</t>
  </si>
  <si>
    <t>Control 
Los registros deben estar protegidos contra pérdida, destrucción, falsificación, acceso y liberación no autorizados</t>
  </si>
  <si>
    <t>A.18.1.3</t>
  </si>
  <si>
    <t>5.34</t>
  </si>
  <si>
    <t xml:space="preserve">Privacidad y protección de la información de identificación personal (PII, por sus siglas en ingles) </t>
  </si>
  <si>
    <t>Control 
La organización debe identificar y cumplir con los requisitos relacionados con la preservación de la privacidad y la protección de la PII de acuerdo con las leyes y regulaciones aplicables y los requisitos contractuales</t>
  </si>
  <si>
    <t>A.18.1.4</t>
  </si>
  <si>
    <t>5.35</t>
  </si>
  <si>
    <t>Revisión independiente de la seguridad de la información</t>
  </si>
  <si>
    <t>Control 
El enfoque de la organización para administrar la seguridad de la información y su implementación, incluidas las personas, los procesos y las tecnologías, se debe revisar de forma independiente a intervalos planificados o cuando ocurran cambios significativos</t>
  </si>
  <si>
    <t>A.18.2.1</t>
  </si>
  <si>
    <t>5.36</t>
  </si>
  <si>
    <t>Cumplimiento de políticas, reglas y estándares de seguridad de la información</t>
  </si>
  <si>
    <t xml:space="preserve">Control 
El cumplimiento de la política de seguridad de la información, el tema, las políticas específicas, las reglas y los estándares de la organización se debe revisar periódicamente. </t>
  </si>
  <si>
    <t>A.18.2.2</t>
  </si>
  <si>
    <t>5.37</t>
  </si>
  <si>
    <t>Procedimientos operativos documentados</t>
  </si>
  <si>
    <t>A.12.1.1</t>
  </si>
  <si>
    <t>CONTROLES DE PERSONAS</t>
  </si>
  <si>
    <t>6.1</t>
  </si>
  <si>
    <t>RESPONSABILIDAD DE LA DIRECCIÓN</t>
  </si>
  <si>
    <t>Control 
Las verificaciones de antecedentes de todos los candidatos para convertirse en personal se deben llevar a cabo antes de unirse a la organización y de forma continúa teniendo en cuenta las leyes, regulaciones y ética aplicables y deben ser proporcionales a los requisitos comerciales, la clasificación de la información a la que se accederá y los riesgos percibidos</t>
  </si>
  <si>
    <t>A.7.2.1</t>
  </si>
  <si>
    <t>6.2</t>
  </si>
  <si>
    <t>Términos y condiciones de empleo</t>
  </si>
  <si>
    <t>Control 
Los acuerdos contractuales de empleo deben establecer las responsabilidades del personal y de la organización para la seguridad de la información</t>
  </si>
  <si>
    <t>A.7.3.1.</t>
  </si>
  <si>
    <t>6.3</t>
  </si>
  <si>
    <t>Conciencia de seguridad de la información, educación y formación</t>
  </si>
  <si>
    <t>Control
El personal de la organización y las partes interesadas pertinentes deben recibir información, educación y capacitación adecuadas sobre seguridad de la información y actualizaciones periódicas de la política de seguridad de la información de la organización, políticas y procedimientos específicos del tema, según sea pertinente para su función laboral</t>
  </si>
  <si>
    <t>A.7.2.2</t>
  </si>
  <si>
    <t>6.4</t>
  </si>
  <si>
    <t>Proceso disciplinario</t>
  </si>
  <si>
    <t>Control 
Se debe formalizar y comunicar un proceso disciplinario para tomar medidas contra el personal y otras partes interesadas pertinentes que hayan cometido una violación de la política de seguridad de la información</t>
  </si>
  <si>
    <t>A.7.2.3</t>
  </si>
  <si>
    <t>6.5</t>
  </si>
  <si>
    <t>Responsabilidades después de la terminación o cambio de empleo</t>
  </si>
  <si>
    <t>Control 
Las responsabilidades y deberes de seguridad de la información que sigan siendo válidos después de la terminación o el cambio de empleo se debe definir, hacer cumplir y comunicar al personal pertinente y a otras partes interesadas</t>
  </si>
  <si>
    <t>6.6</t>
  </si>
  <si>
    <t xml:space="preserve">Acuerdos de confidencialidad o no divulgación </t>
  </si>
  <si>
    <r>
      <t xml:space="preserve">Control 
</t>
    </r>
    <r>
      <rPr>
        <sz val="11"/>
        <color indexed="63"/>
        <rFont val="ArialMT_3p_25"/>
      </rPr>
      <t xml:space="preserve">Los acuerdos </t>
    </r>
    <r>
      <rPr>
        <sz val="11"/>
        <color indexed="8"/>
        <rFont val="ArialMT_3p_25"/>
      </rPr>
      <t xml:space="preserve">de confidencialidad </t>
    </r>
    <r>
      <rPr>
        <sz val="11"/>
        <color indexed="63"/>
        <rFont val="ArialMT_3p_25"/>
      </rPr>
      <t xml:space="preserve">o no divulgación que reflejen las necesidades de la organización para la protección de la información deben ser identificados, documentados, revisados y firmados periódicamente </t>
    </r>
    <r>
      <rPr>
        <sz val="11"/>
        <color indexed="8"/>
        <rFont val="ArialMT_3p_25"/>
      </rPr>
      <t xml:space="preserve">por </t>
    </r>
    <r>
      <rPr>
        <sz val="11"/>
        <color indexed="63"/>
        <rFont val="ArialMT_3p_25"/>
      </rPr>
      <t>el personal y otras partes interesadas pertinentes.</t>
    </r>
  </si>
  <si>
    <t>A.7.1,2</t>
  </si>
  <si>
    <t>6.7</t>
  </si>
  <si>
    <t xml:space="preserve">Trabajo remoto </t>
  </si>
  <si>
    <t>Control
Las medidas de seguridad se deben implementar cuando el personal trabaje de forma remota para proteger la información a la que se accede, procesa o almacena fuera de las instalaciones de la organización</t>
  </si>
  <si>
    <t>A.6.2.2</t>
  </si>
  <si>
    <t>6.8</t>
  </si>
  <si>
    <t>Informes de eventos de seguridad de la información</t>
  </si>
  <si>
    <t>Control 
La organización debe proporcionar un mecanismo para que el personal informe oportunamente sobre los eventos de seguridad de la información observados o sospechosos a través de los canales apropiados</t>
  </si>
  <si>
    <t>A.16.1.3</t>
  </si>
  <si>
    <t>CONTROLES FÍSICOS</t>
  </si>
  <si>
    <t>7.1</t>
  </si>
  <si>
    <t xml:space="preserve">Perímetros de seguridad física </t>
  </si>
  <si>
    <t>Control 
Los perímetros de seguridad se deben definir y utilizar para proteger las zonas que contengan información y otros activos asociados.</t>
  </si>
  <si>
    <t>A.11.1.1</t>
  </si>
  <si>
    <t>7.2</t>
  </si>
  <si>
    <t>Entrada física</t>
  </si>
  <si>
    <t>Control 
Las zonas seguras deben estar protegidas por controles de entrada y puntos de acceso adecuados</t>
  </si>
  <si>
    <t>A.11.1.2</t>
  </si>
  <si>
    <t>7.3</t>
  </si>
  <si>
    <t>Asegurar oficinas, habitaciones e instalaciones</t>
  </si>
  <si>
    <t>Control
Se debe diseñar e implementar la seguridad física de las oficinas, salas e instalaciones.</t>
  </si>
  <si>
    <t>A.11.1.3</t>
  </si>
  <si>
    <t>7.4</t>
  </si>
  <si>
    <t>Monitoreo de la seguridad física</t>
  </si>
  <si>
    <t>Control 
Las instalaciones deben ser monitoreadas continuamente para detectar accesos físicos no autorizados</t>
  </si>
  <si>
    <t>7.5</t>
  </si>
  <si>
    <t xml:space="preserve">Protección contra amenazas físicas y ambientales </t>
  </si>
  <si>
    <r>
      <t xml:space="preserve">Control 
</t>
    </r>
    <r>
      <rPr>
        <sz val="11"/>
        <color indexed="63"/>
        <rFont val="ArialMT_3p_25"/>
      </rPr>
      <t xml:space="preserve">Se debe diseñar </t>
    </r>
    <r>
      <rPr>
        <sz val="11"/>
        <color indexed="8"/>
        <rFont val="ArialMT_3p_25"/>
      </rPr>
      <t xml:space="preserve">e implementar la protección contra las amenazas </t>
    </r>
    <r>
      <rPr>
        <sz val="11"/>
        <color indexed="63"/>
        <rFont val="ArialMT_3p_25"/>
      </rPr>
      <t>físicas y medioambientales, como las catástrofes naturales y otras amenazas físicas intencionadas o no intencionadas a las infraestructuras.</t>
    </r>
  </si>
  <si>
    <t>A.11.1.4</t>
  </si>
  <si>
    <t>7.6</t>
  </si>
  <si>
    <t xml:space="preserve">Trabajar en áreas seguras </t>
  </si>
  <si>
    <t>Control 
Se deben diseñar e implementar medidas de seguridad para trabajar en zonas seguras</t>
  </si>
  <si>
    <t>A.11.1.5</t>
  </si>
  <si>
    <t>7.7</t>
  </si>
  <si>
    <t>Escritorio y pantalla limpios</t>
  </si>
  <si>
    <r>
      <t xml:space="preserve">Control 
</t>
    </r>
    <r>
      <rPr>
        <sz val="11"/>
        <color indexed="63"/>
        <rFont val="ArialMT_3p_25"/>
      </rPr>
      <t xml:space="preserve">Se deben definir e implementar adecuadamente </t>
    </r>
    <r>
      <rPr>
        <sz val="11"/>
        <color indexed="8"/>
        <rFont val="ArialMT_3p_25"/>
      </rPr>
      <t xml:space="preserve">normas claras para los papeles y los soportes de almacenamiento extraíbles </t>
    </r>
    <r>
      <rPr>
        <sz val="11"/>
        <color indexed="63"/>
        <rFont val="ArialMT_3p_25"/>
      </rPr>
      <t>y normas claras sobre pantallas claras para las instalaciones de tratamiento de la información</t>
    </r>
    <r>
      <rPr>
        <sz val="11"/>
        <color indexed="8"/>
        <rFont val="ArialMT_3p_25"/>
      </rPr>
      <t>.</t>
    </r>
  </si>
  <si>
    <t>A.112.9</t>
  </si>
  <si>
    <t>7.8</t>
  </si>
  <si>
    <t>Emplazamiento y protección de equipos</t>
  </si>
  <si>
    <t>Control 
El equipo debe estar situado de forma segura y protegida</t>
  </si>
  <si>
    <t>A.11.2.1</t>
  </si>
  <si>
    <t>7.9</t>
  </si>
  <si>
    <t>Seguridad de los activos fuera de las instalaciones</t>
  </si>
  <si>
    <t xml:space="preserve">Control 
Los activos externos deben estar protegidos. </t>
  </si>
  <si>
    <t>A.11.2.6</t>
  </si>
  <si>
    <t>7.10</t>
  </si>
  <si>
    <t>Medios de almacenamiento</t>
  </si>
  <si>
    <t>Control 
Los medios de almacenamiento deben gestionarse a lo largo de su ciclo de vida de adquisición, uso, transporte y disposición de acuerdo con el esquema de clasificación y los requisitos de manipulación de la organización</t>
  </si>
  <si>
    <t>A.8.3.1</t>
  </si>
  <si>
    <t>7.11</t>
  </si>
  <si>
    <t>Servicios públicos de apoyo</t>
  </si>
  <si>
    <t>Control 
Las instalaciones de procesamiento de la información deben estar protegidas contra los cortes de energía y otras interrupciones causadas por fallos en los servicios públicos de apoyo.</t>
  </si>
  <si>
    <t>A.11.2.2</t>
  </si>
  <si>
    <t>7.12</t>
  </si>
  <si>
    <t>Seguridad del cableado</t>
  </si>
  <si>
    <t>Control 
Los cables que transporten energía, datos o servicios de información de apoyo deben estar protegidos contra la interceptación, las interferencias o los daños.</t>
  </si>
  <si>
    <t>A.11.2.3</t>
  </si>
  <si>
    <t>7.13</t>
  </si>
  <si>
    <t>Mantenimiento de equipos</t>
  </si>
  <si>
    <t xml:space="preserve">Control 
El equipo se debe mantener correctamente para asegurar la disponibilidad, integridad y confidencialidad de la información. </t>
  </si>
  <si>
    <t>A.11.2.4</t>
  </si>
  <si>
    <t>7.14</t>
  </si>
  <si>
    <t>Disposición o reutilización segura de los equipos</t>
  </si>
  <si>
    <t xml:space="preserve">Control
Los elementos de los equipos que contengan medios de almacenamiento se deben verificar para asegurarse de que los datos sensibles y el software con licencia se han eliminado o sobrescrito de forma segura antes de su disposición o reutilización. </t>
  </si>
  <si>
    <t>A.11.2.7</t>
  </si>
  <si>
    <t>CONTROLES TECNOLOGICOS</t>
  </si>
  <si>
    <t>8.1</t>
  </si>
  <si>
    <t>Dispositivos de punto final de usuario</t>
  </si>
  <si>
    <t>Control 
Se debe proteger la información almacenada, procesada o accesible a través de los dispositivos de punto final del usuario</t>
  </si>
  <si>
    <t>8.2</t>
  </si>
  <si>
    <t>Derechos de acceso privilegiado</t>
  </si>
  <si>
    <t>Control
La asignación y el uso de los derechos de acceso privilegiado deben estar restringidos y gestionados.</t>
  </si>
  <si>
    <t>A.9.1.2.
A.9.2.2</t>
  </si>
  <si>
    <t>8.3</t>
  </si>
  <si>
    <t>Restricción de acceso a la información</t>
  </si>
  <si>
    <t>Control
El acceso a la información y a otros activos asociados se debe restringir de acuerdo con la política específica establecida sobre el control de acceso.</t>
  </si>
  <si>
    <t>A.9.4.1</t>
  </si>
  <si>
    <t>8.4</t>
  </si>
  <si>
    <t xml:space="preserve">Acceso al código fuente </t>
  </si>
  <si>
    <t>Control
El acceso para leer o escribir sobre un código fuente, las herramientas de desarrollo, y las librerías de software se deben gestionar apropiadamente</t>
  </si>
  <si>
    <t>A.14.2.1</t>
  </si>
  <si>
    <t>8.5</t>
  </si>
  <si>
    <t>Autenticación segura</t>
  </si>
  <si>
    <t>Control 
Se deben implementar tecnologías y procedimientos de autenticación seguros basados en restricciones de acceso a la información y en la política específica del tema sobre control de acceso.</t>
  </si>
  <si>
    <t>A.9.4.2</t>
  </si>
  <si>
    <t>8.6</t>
  </si>
  <si>
    <t xml:space="preserve">Gestión de la capacidad </t>
  </si>
  <si>
    <t>Control 
El uso de los recursos se debe monitorear y ajustar en función de las necesidades de capacidad actuales y previstas.</t>
  </si>
  <si>
    <t>A.17.1.3</t>
  </si>
  <si>
    <t>8.7</t>
  </si>
  <si>
    <t>Protección contra malware</t>
  </si>
  <si>
    <t>Control
 La protección contra el malware se debe implementar y respaldar mediante la conciencia adecuada del usuario.</t>
  </si>
  <si>
    <t>A.12.2.1</t>
  </si>
  <si>
    <t>8.8</t>
  </si>
  <si>
    <t>Gestión de vulnerabilidades técnicas</t>
  </si>
  <si>
    <t>Control 
Se debe obtener información sobre las vulnerabilidades técnicas de los sistemas de información en uso, se debe evaluar la exposición de la organización a dichas vulnerabilidades y se deben adoptar las medidas apropiadas.</t>
  </si>
  <si>
    <t>A.12.6.1</t>
  </si>
  <si>
    <t>8.9</t>
  </si>
  <si>
    <t>Gestión de la configuración</t>
  </si>
  <si>
    <t>Control 
Las configuraciones, incluidas las configuraciones de seguridad, de hardware, software, servicios y redes se deben establecer, documentar, implementar, monitorear y revisar.</t>
  </si>
  <si>
    <t>8.10</t>
  </si>
  <si>
    <t xml:space="preserve">Eliminación de información </t>
  </si>
  <si>
    <t>Control 
La información almacenada en los sistemas de información, dispositivos o en cualquier otro medio de almacenamiento se debe eliminar cuando ya no sea necesario</t>
  </si>
  <si>
    <t>8.11</t>
  </si>
  <si>
    <t>Enmascaramiento de datos</t>
  </si>
  <si>
    <t>Control 
El enmascaramiento de datos se debe utilizar de acuerdo con la política específica del tema de la organización sobre control de acceso y otras políticas relacionadas con temas específicos, y los requisitos comerciales, teniendo en cuenta la legislación aplicable</t>
  </si>
  <si>
    <t>8.12</t>
  </si>
  <si>
    <t>Prevención de fugas de datos</t>
  </si>
  <si>
    <t>Control 
Las medidas de prevención de fugas de datos se deben implementar a los sistemas, redes y cualquier otro dispositivo que procese, almacene o transmita información sensible.</t>
  </si>
  <si>
    <t>8.13</t>
  </si>
  <si>
    <t>Copia de seguridad de la información</t>
  </si>
  <si>
    <t>Control 
Las copias de seguridad de la información, el software y los sistemas se deben mantener y probar periódicamente de conformidad con la política específica sobre copias de seguridad sobre temas específicos</t>
  </si>
  <si>
    <t>A.12.3.1</t>
  </si>
  <si>
    <t>8.14</t>
  </si>
  <si>
    <t>Redundancia de las instalaciones de procesamiento de información</t>
  </si>
  <si>
    <t>Control 
Las instalaciones de procesamiento de la información se deben implantar con redundancia suficiente para cumplir los requisitos de disponibilidad</t>
  </si>
  <si>
    <t>A.17.2.1</t>
  </si>
  <si>
    <t>8.15</t>
  </si>
  <si>
    <t>Registro</t>
  </si>
  <si>
    <t>Control 
Los registros que guarden actividades, excepciones, fallas y otros eventos pertinentes se deben producir, almacenar, proteger y analizar</t>
  </si>
  <si>
    <t>A.12.7</t>
  </si>
  <si>
    <t>8.16</t>
  </si>
  <si>
    <t>Actividades de seguimiento</t>
  </si>
  <si>
    <t xml:space="preserve">Control 
Se debe monitorear el comportamiento anómalo de las redes, los sistemas y las aplicaciones y se deben adoptar las medidas adecuadas para evaluar posibles incidentes de seguridad de la información. </t>
  </si>
  <si>
    <t>8.17</t>
  </si>
  <si>
    <t>Sincronización de reloj</t>
  </si>
  <si>
    <t>Control 
Los relojes de los sistemas de procesamiento de información utilizados por la organización se deben sincronizar con las fuentes de tiempo aprobadas.</t>
  </si>
  <si>
    <t>A.12.4.4</t>
  </si>
  <si>
    <t>8.18</t>
  </si>
  <si>
    <t>Uso de programas de utilidad privilegiados</t>
  </si>
  <si>
    <t>Control 
El uso de programas de utilidad que puedan ser capaces de anular los controles del sistema y de la aplicación debe restringirse y controlarse estrictamente.</t>
  </si>
  <si>
    <t>A.12.5.1</t>
  </si>
  <si>
    <t>8.19</t>
  </si>
  <si>
    <t xml:space="preserve">Instalación de software en sistemas operativos </t>
  </si>
  <si>
    <t>Control 
Se deben implementar procedimientos y medidas para gestionar de forma segura la instalación de programas informáticos en los sistemas operativos</t>
  </si>
  <si>
    <t>8.20</t>
  </si>
  <si>
    <r>
      <t xml:space="preserve">Seguridad de </t>
    </r>
    <r>
      <rPr>
        <sz val="11"/>
        <color indexed="8"/>
        <rFont val="ArialMT_3p_28"/>
      </rPr>
      <t>redes</t>
    </r>
  </si>
  <si>
    <t>Control 
Las redes y los dispositivos de red deben estar asegurados, gestionados y controlados para proteger la información de los sistemas y las aplicaciones.</t>
  </si>
  <si>
    <t>A.13.1.1</t>
  </si>
  <si>
    <t>8.21</t>
  </si>
  <si>
    <r>
      <t xml:space="preserve">Seguridad de los servicios </t>
    </r>
    <r>
      <rPr>
        <sz val="11"/>
        <color indexed="8"/>
        <rFont val="ArialMT_3p_28"/>
      </rPr>
      <t xml:space="preserve">de </t>
    </r>
    <r>
      <rPr>
        <sz val="11"/>
        <color indexed="63"/>
        <rFont val="ArialMT_3p_28"/>
      </rPr>
      <t xml:space="preserve">red </t>
    </r>
  </si>
  <si>
    <t>Control 
Se deben identificar, implementar y monitorear los mecanismos de seguridad, los niveles de servicio y los requisitos de servicio de los servicios de red.</t>
  </si>
  <si>
    <t>A.13.1.2</t>
  </si>
  <si>
    <t>8.22</t>
  </si>
  <si>
    <t>Segregación de redes</t>
  </si>
  <si>
    <t>Control 
Los grupos de servicios de información, los usuarios y los sistemas de información deben estar segregados en las redes de la organización.</t>
  </si>
  <si>
    <t>A.13.1.3</t>
  </si>
  <si>
    <t>8.23</t>
  </si>
  <si>
    <t>Filtrado web</t>
  </si>
  <si>
    <t>Control 
El acceso a sitios web externos se debe gestionar para reducir la exposición a contenido malicioso.</t>
  </si>
  <si>
    <t>8.24</t>
  </si>
  <si>
    <t xml:space="preserve">Uso de la criptografía </t>
  </si>
  <si>
    <t>Control 
Se debe definir e implementar normas para el uso eficaz de la criptografía, incluida la gestión de claves criptográficas.</t>
  </si>
  <si>
    <t>A.10.1.2</t>
  </si>
  <si>
    <t>8.25</t>
  </si>
  <si>
    <t>Ciclo de vida de desarrollo seguro</t>
  </si>
  <si>
    <t>Control 
Se deben establecer e implementar normas para el desarrollo seguro de software y sistemas</t>
  </si>
  <si>
    <t>8.26</t>
  </si>
  <si>
    <t>Requisitos de seguridad de las aplicaciones</t>
  </si>
  <si>
    <t>Control
Los requisitos de seguridad de la información se deben identificar, especificar y aprobar al desarrollar o adquirir aplicaciones</t>
  </si>
  <si>
    <t>8.27</t>
  </si>
  <si>
    <t xml:space="preserve">Arquitectura de sistemas seguros y principios de ingeniería </t>
  </si>
  <si>
    <t>Control
Los principios para la ingeniería de sistemas seguros se deben establecer, documentar, mantener y implementar a cualquier actividad de desarrollo de sistemas de información</t>
  </si>
  <si>
    <t>A.14.2.5</t>
  </si>
  <si>
    <t>8.28</t>
  </si>
  <si>
    <t>Codificación segura</t>
  </si>
  <si>
    <t>Control
Los principios de codificación segura se deben implementar al desarrollo de programas informáticos</t>
  </si>
  <si>
    <t>8.29</t>
  </si>
  <si>
    <t>Pruebas de seguridad en el desarrollo y aceptación</t>
  </si>
  <si>
    <t>Control 
Los procesos de ensayo de seguridad se deben definir y implementar en el ciclo de vida del desarrollo</t>
  </si>
  <si>
    <t>A.14.2.8</t>
  </si>
  <si>
    <t>8.30</t>
  </si>
  <si>
    <t>Desarrollo externalizado</t>
  </si>
  <si>
    <t>Control 
La organización debe dirigir, monitorear y revisar las actividades relacionadas con el desarrollo de sistemas subcontratados</t>
  </si>
  <si>
    <t>A.14.2.7</t>
  </si>
  <si>
    <t>8.31</t>
  </si>
  <si>
    <t>Separación de entornos de desarrollo, evidencia y producción</t>
  </si>
  <si>
    <t>Control 
Los entornos de desarrollo, ensayo y producción deben estar separados y protegidos</t>
  </si>
  <si>
    <t>A.14.2.9</t>
  </si>
  <si>
    <t>8.32</t>
  </si>
  <si>
    <t>Gestión del cambio</t>
  </si>
  <si>
    <t>Control 
Los cambios en las instalaciones de procesamiento de la información y los sistemas de información deben estar sujetos a procedimientos de gestión de cambios</t>
  </si>
  <si>
    <t>A.12.1.2
A.14.2.2</t>
  </si>
  <si>
    <t>8.33</t>
  </si>
  <si>
    <t xml:space="preserve">Información de las pruebas </t>
  </si>
  <si>
    <t>Control 
La información de las pruebas se debe seleccionar, proteger y gestionar adecuadamente</t>
  </si>
  <si>
    <t>A.14.3.1</t>
  </si>
  <si>
    <t>8.34</t>
  </si>
  <si>
    <t xml:space="preserve">Protección de los sistemas de información durante las pruebas de auditoría </t>
  </si>
  <si>
    <t>Control
Las pruebas de auditoría y otras actividades de aseguramiento que impliquen la evaluación de los sistemas operativos se deben planificar y acordar conjuntamente entre el probador y la dirección adecuada</t>
  </si>
  <si>
    <t>Fuente: NTC-ISO-IEC 27001:2022</t>
  </si>
  <si>
    <t>CAPÍTULOS</t>
  </si>
  <si>
    <t>NIVEL DE IMPLEMENTACIÓN</t>
  </si>
  <si>
    <t>NIVEL ACTUAL</t>
  </si>
  <si>
    <t>NIVEL DESEADO</t>
  </si>
  <si>
    <t>Seccion de la norma
ISO 2701:2022</t>
  </si>
  <si>
    <t>PLAN DE TRANSICIÓN SISTEMA DE GESTION DE SEGURIDAD DE LA INFORMACION</t>
  </si>
  <si>
    <t>Responsables</t>
  </si>
  <si>
    <t>Presupuesto</t>
  </si>
  <si>
    <t>ACTIVIDADES</t>
  </si>
  <si>
    <t>Descripción Metas
Resultados esperados</t>
  </si>
  <si>
    <t>Fecha culminación</t>
  </si>
  <si>
    <t>Procesos involucrados</t>
  </si>
  <si>
    <t>5.1 LIDERAZGO Y COMPROMISO
5.1.1 Liderazgo y compromiso para el sistema de gestión de la seguridad de la información</t>
  </si>
  <si>
    <t>Control
Los procedimientos operativos de las instalaciones de procesamiento de la información se debe documentar y poner a disposición del personal que los necesite</t>
  </si>
  <si>
    <r>
      <t xml:space="preserve">Derechos de </t>
    </r>
    <r>
      <rPr>
        <sz val="11"/>
        <color rgb="FF000000"/>
        <rFont val="ArialMT_3p_22"/>
      </rPr>
      <t>acceso</t>
    </r>
  </si>
  <si>
    <t>7. CONTROLES FISICOS
(14)</t>
  </si>
  <si>
    <t>8. CONTROLES TECNOLÓGICOS
(34)</t>
  </si>
  <si>
    <t>5. CONTROLES ORGANIZACIONALES
(37)</t>
  </si>
  <si>
    <t>6. CONTROLES DE PERSONAS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</si>
</sst>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8" x14ac:knownFonts="1">
    <font>
      <sz val="11"/>
      <color theme="1"/>
      <name val="Calibri"/>
      <family val="2"/>
      <scheme val="minor"/>
    </font>
    <font>
      <sz val="11"/>
      <color indexed="8"/>
      <name val="Calibri"/>
      <family val="2"/>
    </font>
    <font>
      <b/>
      <sz val="11"/>
      <color indexed="8"/>
      <name val="Calibri"/>
      <family val="2"/>
    </font>
    <font>
      <sz val="10"/>
      <name val="Arial"/>
      <family val="2"/>
    </font>
    <font>
      <b/>
      <sz val="10"/>
      <name val="Arial"/>
      <family val="2"/>
    </font>
    <font>
      <sz val="11"/>
      <color indexed="10"/>
      <name val="Calibri"/>
      <family val="2"/>
    </font>
    <font>
      <sz val="11"/>
      <name val="Calibri"/>
      <family val="2"/>
    </font>
    <font>
      <sz val="9"/>
      <name val="Arial"/>
      <family val="2"/>
    </font>
    <font>
      <u/>
      <sz val="11"/>
      <color indexed="8"/>
      <name val="Calibri"/>
      <family val="2"/>
    </font>
    <font>
      <sz val="8"/>
      <name val="Arial"/>
      <family val="2"/>
    </font>
    <font>
      <b/>
      <sz val="9"/>
      <color indexed="81"/>
      <name val="Tahoma"/>
      <family val="2"/>
    </font>
    <font>
      <sz val="9"/>
      <color indexed="81"/>
      <name val="Tahoma"/>
      <family val="2"/>
    </font>
    <font>
      <sz val="10"/>
      <name val="Calibri"/>
      <family val="2"/>
    </font>
    <font>
      <sz val="12"/>
      <color indexed="8"/>
      <name val="Calibri"/>
      <family val="2"/>
    </font>
    <font>
      <sz val="8"/>
      <color indexed="8"/>
      <name val="Calibri"/>
      <family val="2"/>
    </font>
    <font>
      <sz val="8"/>
      <name val="Calibri"/>
      <family val="2"/>
    </font>
    <font>
      <sz val="8"/>
      <color indexed="10"/>
      <name val="Calibri"/>
      <family val="2"/>
    </font>
    <font>
      <sz val="12"/>
      <color indexed="10"/>
      <name val="Calibri"/>
      <family val="2"/>
    </font>
    <font>
      <sz val="12"/>
      <color indexed="56"/>
      <name val="Calibri"/>
      <family val="2"/>
    </font>
    <font>
      <sz val="11"/>
      <color indexed="36"/>
      <name val="Calibri"/>
      <family val="2"/>
    </font>
    <font>
      <b/>
      <sz val="11"/>
      <color indexed="9"/>
      <name val="Calibri"/>
      <family val="2"/>
    </font>
    <font>
      <b/>
      <sz val="12"/>
      <name val="Arial"/>
      <family val="2"/>
    </font>
    <font>
      <sz val="8"/>
      <name val="Calibri"/>
      <family val="2"/>
    </font>
    <font>
      <sz val="11"/>
      <color indexed="8"/>
      <name val="ArialMT_3p_21"/>
    </font>
    <font>
      <sz val="11"/>
      <color indexed="63"/>
      <name val="ArialMT_3p_21"/>
    </font>
    <font>
      <sz val="11"/>
      <color indexed="8"/>
      <name val="ArialMT_3p_22"/>
    </font>
    <font>
      <sz val="11"/>
      <color indexed="63"/>
      <name val="ArialMT_3p_22"/>
    </font>
    <font>
      <sz val="11"/>
      <color indexed="63"/>
      <name val="ArialMT_3p_25"/>
    </font>
    <font>
      <sz val="11"/>
      <color indexed="8"/>
      <name val="ArialMT_3p_25"/>
    </font>
    <font>
      <sz val="11"/>
      <color indexed="8"/>
      <name val="ArialMT_3p_28"/>
    </font>
    <font>
      <sz val="11"/>
      <color indexed="63"/>
      <name val="ArialMT_3p_28"/>
    </font>
    <font>
      <sz val="11"/>
      <color theme="1"/>
      <name val="Calibri"/>
      <family val="2"/>
      <scheme val="minor"/>
    </font>
    <font>
      <b/>
      <sz val="11"/>
      <color theme="0"/>
      <name val="Calibri"/>
      <family val="2"/>
      <scheme val="minor"/>
    </font>
    <font>
      <u/>
      <sz val="11"/>
      <color theme="10"/>
      <name val="Calibri"/>
      <family val="2"/>
      <scheme val="minor"/>
    </font>
    <font>
      <b/>
      <sz val="11"/>
      <color theme="1"/>
      <name val="Calibri"/>
      <family val="2"/>
      <scheme val="minor"/>
    </font>
    <font>
      <sz val="9"/>
      <name val="Calibri"/>
      <family val="2"/>
      <scheme val="minor"/>
    </font>
    <font>
      <sz val="8"/>
      <color theme="1"/>
      <name val="Calibri"/>
      <family val="2"/>
      <scheme val="minor"/>
    </font>
    <font>
      <b/>
      <sz val="8"/>
      <color theme="1"/>
      <name val="Calibri"/>
      <family val="2"/>
      <scheme val="minor"/>
    </font>
    <font>
      <b/>
      <sz val="11"/>
      <color rgb="FFC00000"/>
      <name val="Calibri"/>
      <family val="2"/>
      <scheme val="minor"/>
    </font>
    <font>
      <sz val="10"/>
      <color theme="1"/>
      <name val="Calibri"/>
      <family val="2"/>
      <scheme val="minor"/>
    </font>
    <font>
      <b/>
      <sz val="7"/>
      <color rgb="FF000000"/>
      <name val="Arial"/>
      <family val="2"/>
    </font>
    <font>
      <sz val="8"/>
      <color rgb="FF000000"/>
      <name val="Arial"/>
      <family val="2"/>
    </font>
    <font>
      <sz val="8"/>
      <color rgb="FFFF0000"/>
      <name val="Arial"/>
      <family val="2"/>
    </font>
    <font>
      <b/>
      <sz val="8"/>
      <color theme="0"/>
      <name val="Calibri"/>
      <family val="2"/>
      <scheme val="minor"/>
    </font>
    <font>
      <sz val="11"/>
      <name val="Calibri"/>
      <family val="2"/>
      <scheme val="minor"/>
    </font>
    <font>
      <b/>
      <sz val="8"/>
      <color rgb="FFC0000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2"/>
      <color rgb="FFC00000"/>
      <name val="Calibri"/>
      <family val="2"/>
      <scheme val="minor"/>
    </font>
    <font>
      <b/>
      <sz val="8"/>
      <color theme="0"/>
      <name val="Arial"/>
      <family val="2"/>
    </font>
    <font>
      <sz val="8"/>
      <name val="Calibri"/>
      <family val="2"/>
      <scheme val="minor"/>
    </font>
    <font>
      <sz val="8"/>
      <color rgb="FF000000"/>
      <name val="Calibri"/>
      <family val="2"/>
      <scheme val="minor"/>
    </font>
    <font>
      <sz val="8"/>
      <color rgb="FFFF0000"/>
      <name val="Calibri"/>
      <family val="2"/>
      <scheme val="minor"/>
    </font>
    <font>
      <sz val="12"/>
      <color rgb="FF000000"/>
      <name val="Calibri"/>
      <family val="2"/>
      <scheme val="minor"/>
    </font>
    <font>
      <b/>
      <sz val="12"/>
      <color rgb="FF000000"/>
      <name val="Calibri"/>
      <family val="2"/>
      <scheme val="minor"/>
    </font>
    <font>
      <sz val="12"/>
      <color indexed="8"/>
      <name val="Calibri"/>
      <family val="2"/>
      <scheme val="minor"/>
    </font>
    <font>
      <b/>
      <sz val="11"/>
      <color rgb="FFFF0000"/>
      <name val="Calibri"/>
      <family val="2"/>
      <scheme val="minor"/>
    </font>
    <font>
      <sz val="11"/>
      <color rgb="FF000000"/>
      <name val="Calibri"/>
      <family val="2"/>
      <scheme val="minor"/>
    </font>
    <font>
      <sz val="8"/>
      <color theme="1"/>
      <name val="Arial"/>
      <family val="2"/>
    </font>
    <font>
      <b/>
      <sz val="8"/>
      <color rgb="FFC00000"/>
      <name val="Arial"/>
      <family val="2"/>
    </font>
    <font>
      <b/>
      <sz val="12"/>
      <color theme="0"/>
      <name val="Arial"/>
      <family val="2"/>
    </font>
    <font>
      <b/>
      <sz val="12"/>
      <name val="Calibri"/>
      <family val="2"/>
      <scheme val="minor"/>
    </font>
    <font>
      <sz val="12"/>
      <color theme="0"/>
      <name val="Calibri"/>
      <family val="2"/>
      <scheme val="minor"/>
    </font>
    <font>
      <sz val="10"/>
      <color rgb="FF000000"/>
      <name val="Arial"/>
      <family val="2"/>
    </font>
    <font>
      <b/>
      <sz val="20"/>
      <color theme="1"/>
      <name val="Calibri"/>
      <family val="2"/>
      <scheme val="minor"/>
    </font>
    <font>
      <b/>
      <sz val="12"/>
      <color theme="5"/>
      <name val="Calibri"/>
      <family val="2"/>
      <scheme val="minor"/>
    </font>
    <font>
      <b/>
      <sz val="8"/>
      <color theme="5"/>
      <name val="Calibri"/>
      <family val="2"/>
      <scheme val="minor"/>
    </font>
    <font>
      <b/>
      <sz val="11"/>
      <color theme="5"/>
      <name val="Calibri"/>
      <family val="2"/>
      <scheme val="minor"/>
    </font>
    <font>
      <sz val="8"/>
      <color indexed="8"/>
      <name val="Calibri"/>
      <family val="2"/>
      <scheme val="minor"/>
    </font>
    <font>
      <b/>
      <sz val="8"/>
      <color theme="5"/>
      <name val="Arial"/>
      <family val="2"/>
    </font>
    <font>
      <b/>
      <sz val="18"/>
      <color theme="0"/>
      <name val="Calibri"/>
      <family val="2"/>
      <scheme val="minor"/>
    </font>
    <font>
      <b/>
      <sz val="16"/>
      <color theme="0"/>
      <name val="Calibri"/>
      <family val="2"/>
      <scheme val="minor"/>
    </font>
    <font>
      <sz val="11"/>
      <color rgb="FFFF0000"/>
      <name val="Calibri"/>
      <family val="2"/>
      <scheme val="minor"/>
    </font>
    <font>
      <sz val="11"/>
      <color rgb="FF000000"/>
      <name val="Calibri"/>
      <family val="2"/>
    </font>
    <font>
      <sz val="11"/>
      <color rgb="FF000000"/>
      <name val="ArialMT_3p_22"/>
    </font>
    <font>
      <sz val="11"/>
      <color rgb="FFFF0000"/>
      <name val="Calibri"/>
      <family val="2"/>
    </font>
    <font>
      <b/>
      <sz val="14"/>
      <color theme="0"/>
      <name val="Calibri"/>
      <family val="2"/>
      <scheme val="minor"/>
    </font>
  </fonts>
  <fills count="27">
    <fill>
      <patternFill patternType="none"/>
    </fill>
    <fill>
      <patternFill patternType="gray125"/>
    </fill>
    <fill>
      <patternFill patternType="solid">
        <fgColor rgb="FFC0000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rgb="FFF9FBB5"/>
        <bgColor indexed="64"/>
      </patternFill>
    </fill>
    <fill>
      <patternFill patternType="solid">
        <fgColor theme="6" tint="0.39997558519241921"/>
        <bgColor indexed="64"/>
      </patternFill>
    </fill>
    <fill>
      <patternFill patternType="solid">
        <fgColor theme="0"/>
        <bgColor indexed="64"/>
      </patternFill>
    </fill>
    <fill>
      <patternFill patternType="lightGray">
        <bgColor theme="0" tint="-0.14996795556505021"/>
      </patternFill>
    </fill>
    <fill>
      <patternFill patternType="solid">
        <fgColor theme="8"/>
        <bgColor indexed="64"/>
      </patternFill>
    </fill>
    <fill>
      <patternFill patternType="solid">
        <fgColor theme="0" tint="-0.14999847407452621"/>
        <bgColor indexed="31"/>
      </patternFill>
    </fill>
    <fill>
      <patternFill patternType="lightGray">
        <bgColor theme="2" tint="-9.9978637043366805E-2"/>
      </patternFill>
    </fill>
    <fill>
      <patternFill patternType="solid">
        <fgColor theme="3"/>
        <bgColor indexed="64"/>
      </patternFill>
    </fill>
    <fill>
      <patternFill patternType="lightGray">
        <bgColor theme="0" tint="-0.14993743705557422"/>
      </patternFill>
    </fill>
    <fill>
      <patternFill patternType="solid">
        <fgColor theme="2" tint="-9.9978637043366805E-2"/>
        <bgColor indexed="64"/>
      </patternFill>
    </fill>
    <fill>
      <patternFill patternType="solid">
        <fgColor theme="6" tint="0.79998168889431442"/>
        <bgColor indexed="64"/>
      </patternFill>
    </fill>
    <fill>
      <gradientFill degree="90">
        <stop position="0">
          <color theme="0"/>
        </stop>
        <stop position="1">
          <color theme="0"/>
        </stop>
      </gradientFill>
    </fill>
    <fill>
      <patternFill patternType="solid">
        <fgColor theme="0" tint="-0.14990691854609822"/>
        <bgColor indexed="64"/>
      </patternFill>
    </fill>
    <fill>
      <patternFill patternType="solid">
        <fgColor theme="3" tint="0.3999755851924192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0" tint="-0.14993743705557422"/>
        <bgColor indexed="64"/>
      </patternFill>
    </fill>
    <fill>
      <patternFill patternType="solid">
        <fgColor theme="0" tint="-0.14996795556505021"/>
        <bgColor indexed="64"/>
      </patternFill>
    </fill>
    <fill>
      <patternFill patternType="solid">
        <fgColor theme="0" tint="-0.14999847407452621"/>
        <bgColor indexed="64"/>
      </patternFill>
    </fill>
    <fill>
      <patternFill patternType="lightGray">
        <bgColor theme="0"/>
      </patternFill>
    </fill>
    <fill>
      <patternFill patternType="solid">
        <fgColor theme="1" tint="4.9989318521683403E-2"/>
        <bgColor indexed="64"/>
      </patternFill>
    </fill>
  </fills>
  <borders count="6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bottom/>
      <diagonal/>
    </border>
    <border>
      <left/>
      <right/>
      <top style="medium">
        <color indexed="64"/>
      </top>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thin">
        <color indexed="64"/>
      </top>
      <bottom/>
      <diagonal/>
    </border>
    <border>
      <left style="thin">
        <color indexed="64"/>
      </left>
      <right/>
      <top style="thin">
        <color indexed="64"/>
      </top>
      <bottom/>
      <diagonal/>
    </border>
    <border>
      <left/>
      <right style="thin">
        <color indexed="64"/>
      </right>
      <top/>
      <bottom/>
      <diagonal/>
    </border>
    <border>
      <left style="thin">
        <color indexed="64"/>
      </left>
      <right style="medium">
        <color indexed="64"/>
      </right>
      <top/>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right style="medium">
        <color indexed="64"/>
      </right>
      <top/>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top/>
      <bottom/>
      <diagonal/>
    </border>
    <border>
      <left style="medium">
        <color indexed="64"/>
      </left>
      <right/>
      <top/>
      <bottom/>
      <diagonal/>
    </border>
    <border>
      <left style="medium">
        <color indexed="64"/>
      </left>
      <right style="medium">
        <color indexed="64"/>
      </right>
      <top style="thin">
        <color indexed="64"/>
      </top>
      <bottom/>
      <diagonal/>
    </border>
    <border>
      <left style="medium">
        <color indexed="64"/>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thin">
        <color indexed="64"/>
      </bottom>
      <diagonal/>
    </border>
    <border>
      <left style="medium">
        <color indexed="64"/>
      </left>
      <right/>
      <top style="thin">
        <color indexed="64"/>
      </top>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style="medium">
        <color indexed="64"/>
      </right>
      <top/>
      <bottom style="medium">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medium">
        <color indexed="64"/>
      </bottom>
      <diagonal/>
    </border>
  </borders>
  <cellStyleXfs count="4">
    <xf numFmtId="0" fontId="0" fillId="0" borderId="0"/>
    <xf numFmtId="0" fontId="33" fillId="0" borderId="0" applyNumberFormat="0" applyFill="0" applyBorder="0" applyAlignment="0" applyProtection="0"/>
    <xf numFmtId="0" fontId="3" fillId="0" borderId="0"/>
    <xf numFmtId="9" fontId="31" fillId="0" borderId="0" applyFont="0" applyFill="0" applyBorder="0" applyAlignment="0" applyProtection="0"/>
  </cellStyleXfs>
  <cellXfs count="543">
    <xf numFmtId="0" fontId="0" fillId="0" borderId="0" xfId="0"/>
    <xf numFmtId="0" fontId="34" fillId="0" borderId="1" xfId="0" applyFont="1" applyBorder="1" applyAlignment="1">
      <alignment horizontal="center" vertical="center" wrapText="1"/>
    </xf>
    <xf numFmtId="0" fontId="34" fillId="0" borderId="2" xfId="0" applyFont="1" applyBorder="1" applyAlignment="1">
      <alignment horizontal="center" vertical="center" wrapText="1"/>
    </xf>
    <xf numFmtId="0" fontId="34" fillId="0" borderId="1" xfId="0" applyFont="1" applyBorder="1" applyAlignment="1">
      <alignment horizontal="center" vertical="center"/>
    </xf>
    <xf numFmtId="0" fontId="32" fillId="2" borderId="3" xfId="0" applyFont="1" applyFill="1" applyBorder="1" applyAlignment="1">
      <alignment horizontal="center" vertical="center" wrapText="1"/>
    </xf>
    <xf numFmtId="0" fontId="32" fillId="2" borderId="4" xfId="0" applyFont="1" applyFill="1" applyBorder="1" applyAlignment="1">
      <alignment horizontal="center" vertical="center" wrapText="1"/>
    </xf>
    <xf numFmtId="0" fontId="32" fillId="2" borderId="5" xfId="0" applyFont="1" applyFill="1" applyBorder="1" applyAlignment="1">
      <alignment horizontal="center" vertical="center" wrapText="1"/>
    </xf>
    <xf numFmtId="0" fontId="32" fillId="2" borderId="6" xfId="0" applyFont="1" applyFill="1" applyBorder="1" applyAlignment="1">
      <alignment horizontal="center" vertical="center" wrapText="1"/>
    </xf>
    <xf numFmtId="0" fontId="32" fillId="2" borderId="7" xfId="0" applyFont="1" applyFill="1" applyBorder="1" applyAlignment="1">
      <alignment horizontal="center" vertical="center" wrapText="1"/>
    </xf>
    <xf numFmtId="0" fontId="4" fillId="3" borderId="8" xfId="0" applyFont="1" applyFill="1" applyBorder="1" applyAlignment="1">
      <alignment horizontal="justify" vertical="center" wrapText="1"/>
    </xf>
    <xf numFmtId="0" fontId="4" fillId="4" borderId="8" xfId="0" applyFont="1" applyFill="1" applyBorder="1" applyAlignment="1">
      <alignment horizontal="justify" vertical="center" wrapText="1"/>
    </xf>
    <xf numFmtId="0" fontId="4" fillId="5" borderId="9" xfId="0" applyFont="1" applyFill="1" applyBorder="1" applyAlignment="1">
      <alignment horizontal="justify" readingOrder="1"/>
    </xf>
    <xf numFmtId="0" fontId="4" fillId="5" borderId="8" xfId="0" applyFont="1" applyFill="1" applyBorder="1" applyAlignment="1">
      <alignment horizontal="justify" readingOrder="1"/>
    </xf>
    <xf numFmtId="0" fontId="4" fillId="4" borderId="8" xfId="0" applyFont="1" applyFill="1" applyBorder="1" applyAlignment="1">
      <alignment horizontal="justify" vertical="center"/>
    </xf>
    <xf numFmtId="0" fontId="4" fillId="4" borderId="10" xfId="0" applyFont="1" applyFill="1" applyBorder="1" applyAlignment="1">
      <alignment horizontal="justify" vertical="center"/>
    </xf>
    <xf numFmtId="0" fontId="4" fillId="4" borderId="9" xfId="0" applyFont="1" applyFill="1" applyBorder="1" applyAlignment="1">
      <alignment horizontal="justify" vertical="center" wrapText="1"/>
    </xf>
    <xf numFmtId="0" fontId="4" fillId="6" borderId="8" xfId="0" applyFont="1" applyFill="1" applyBorder="1" applyAlignment="1">
      <alignment horizontal="justify" vertical="center" wrapText="1"/>
    </xf>
    <xf numFmtId="0" fontId="7" fillId="0" borderId="11" xfId="0" applyFont="1" applyBorder="1" applyAlignment="1">
      <alignment horizontal="justify" vertical="top" wrapText="1" readingOrder="1"/>
    </xf>
    <xf numFmtId="0" fontId="35" fillId="0" borderId="11" xfId="0" applyFont="1" applyBorder="1" applyAlignment="1">
      <alignment horizontal="justify" vertical="top" wrapText="1" readingOrder="1"/>
    </xf>
    <xf numFmtId="0" fontId="4" fillId="4" borderId="10" xfId="0" applyFont="1" applyFill="1" applyBorder="1" applyAlignment="1">
      <alignment horizontal="justify" vertical="center" wrapText="1"/>
    </xf>
    <xf numFmtId="0" fontId="4" fillId="4" borderId="12" xfId="0" applyFont="1" applyFill="1" applyBorder="1" applyAlignment="1">
      <alignment horizontal="justify" vertical="center" wrapText="1"/>
    </xf>
    <xf numFmtId="0" fontId="4" fillId="3" borderId="10" xfId="0" applyFont="1" applyFill="1" applyBorder="1" applyAlignment="1">
      <alignment horizontal="justify" vertical="center" wrapText="1"/>
    </xf>
    <xf numFmtId="0" fontId="4" fillId="7" borderId="13" xfId="0" applyFont="1" applyFill="1" applyBorder="1" applyAlignment="1">
      <alignment horizontal="justify" vertical="center"/>
    </xf>
    <xf numFmtId="0" fontId="7" fillId="0" borderId="11" xfId="0" applyFont="1" applyBorder="1" applyAlignment="1">
      <alignment horizontal="justify" vertical="center" wrapText="1"/>
    </xf>
    <xf numFmtId="0" fontId="36" fillId="0" borderId="1" xfId="0" applyFont="1" applyBorder="1" applyAlignment="1">
      <alignment vertical="center"/>
    </xf>
    <xf numFmtId="0" fontId="36" fillId="0" borderId="1" xfId="0" applyFont="1" applyBorder="1" applyAlignment="1">
      <alignment vertical="center" wrapText="1"/>
    </xf>
    <xf numFmtId="0" fontId="4" fillId="8" borderId="10" xfId="0" applyFont="1" applyFill="1" applyBorder="1" applyAlignment="1">
      <alignment horizontal="justify" vertical="center" readingOrder="1"/>
    </xf>
    <xf numFmtId="0" fontId="4" fillId="8" borderId="8" xfId="0" applyFont="1" applyFill="1" applyBorder="1" applyAlignment="1">
      <alignment horizontal="justify" vertical="center" readingOrder="1"/>
    </xf>
    <xf numFmtId="0" fontId="4" fillId="8" borderId="12" xfId="0" applyFont="1" applyFill="1" applyBorder="1" applyAlignment="1">
      <alignment horizontal="justify" vertical="center" readingOrder="1"/>
    </xf>
    <xf numFmtId="0" fontId="0" fillId="8" borderId="0" xfId="0" applyFill="1"/>
    <xf numFmtId="0" fontId="4" fillId="7" borderId="1" xfId="0" applyFont="1" applyFill="1" applyBorder="1" applyAlignment="1">
      <alignment horizontal="justify" vertical="center" wrapText="1"/>
    </xf>
    <xf numFmtId="0" fontId="4" fillId="5" borderId="14" xfId="0" applyFont="1" applyFill="1" applyBorder="1" applyAlignment="1">
      <alignment horizontal="justify" vertical="top" wrapText="1" readingOrder="1"/>
    </xf>
    <xf numFmtId="0" fontId="35" fillId="0" borderId="11" xfId="0" applyFont="1" applyBorder="1" applyAlignment="1">
      <alignment vertical="top" wrapText="1" readingOrder="1"/>
    </xf>
    <xf numFmtId="0" fontId="7" fillId="0" borderId="11" xfId="0" applyFont="1" applyBorder="1" applyAlignment="1">
      <alignment horizontal="left" vertical="center" wrapText="1"/>
    </xf>
    <xf numFmtId="0" fontId="35" fillId="0" borderId="11" xfId="0" applyFont="1" applyBorder="1" applyAlignment="1">
      <alignment horizontal="left" vertical="top" wrapText="1" readingOrder="1"/>
    </xf>
    <xf numFmtId="0" fontId="4" fillId="5" borderId="9" xfId="0" applyFont="1" applyFill="1" applyBorder="1" applyAlignment="1">
      <alignment horizontal="justify" vertical="center" wrapText="1" readingOrder="1"/>
    </xf>
    <xf numFmtId="0" fontId="37" fillId="0" borderId="1" xfId="0" applyFont="1" applyBorder="1" applyAlignment="1">
      <alignment vertical="center"/>
    </xf>
    <xf numFmtId="0" fontId="0" fillId="0" borderId="1" xfId="0" applyBorder="1" applyAlignment="1">
      <alignment vertical="center" wrapText="1"/>
    </xf>
    <xf numFmtId="0" fontId="32" fillId="2" borderId="15" xfId="0" applyFont="1" applyFill="1" applyBorder="1" applyAlignment="1">
      <alignment horizontal="center" vertical="center" wrapText="1"/>
    </xf>
    <xf numFmtId="0" fontId="32" fillId="2" borderId="16" xfId="0" applyFont="1" applyFill="1" applyBorder="1" applyAlignment="1">
      <alignment horizontal="center" vertical="center" wrapText="1"/>
    </xf>
    <xf numFmtId="0" fontId="34" fillId="8" borderId="1" xfId="0" applyFont="1" applyFill="1" applyBorder="1" applyAlignment="1">
      <alignment horizontal="center" vertical="center"/>
    </xf>
    <xf numFmtId="0" fontId="38" fillId="9" borderId="2" xfId="0" applyFont="1" applyFill="1" applyBorder="1" applyAlignment="1">
      <alignment vertical="center" wrapText="1"/>
    </xf>
    <xf numFmtId="0" fontId="39" fillId="0" borderId="0" xfId="0" applyFont="1"/>
    <xf numFmtId="0" fontId="41" fillId="8" borderId="17" xfId="0" applyFont="1" applyFill="1" applyBorder="1" applyAlignment="1">
      <alignment horizontal="center" vertical="center" wrapText="1"/>
    </xf>
    <xf numFmtId="0" fontId="41" fillId="8" borderId="18" xfId="0" applyFont="1" applyFill="1" applyBorder="1" applyAlignment="1">
      <alignment horizontal="center"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0" borderId="18" xfId="0" applyFont="1" applyBorder="1" applyAlignment="1">
      <alignment horizontal="center" vertical="center" wrapText="1"/>
    </xf>
    <xf numFmtId="0" fontId="9" fillId="8" borderId="17" xfId="0" applyFont="1" applyFill="1" applyBorder="1" applyAlignment="1">
      <alignment horizontal="center" vertical="center" wrapText="1"/>
    </xf>
    <xf numFmtId="0" fontId="9" fillId="8" borderId="18" xfId="0" applyFont="1" applyFill="1" applyBorder="1" applyAlignment="1">
      <alignment horizontal="center" vertical="center" wrapText="1"/>
    </xf>
    <xf numFmtId="0" fontId="41" fillId="0" borderId="1" xfId="0" applyFont="1" applyBorder="1" applyAlignment="1">
      <alignment vertical="center" wrapText="1"/>
    </xf>
    <xf numFmtId="0" fontId="42" fillId="0" borderId="1" xfId="0" applyFont="1" applyBorder="1" applyAlignment="1">
      <alignment horizontal="left" vertical="center" wrapText="1"/>
    </xf>
    <xf numFmtId="0" fontId="42" fillId="8" borderId="17" xfId="0" applyFont="1" applyFill="1" applyBorder="1" applyAlignment="1">
      <alignment horizontal="center" vertical="center" wrapText="1"/>
    </xf>
    <xf numFmtId="0" fontId="42" fillId="8" borderId="18" xfId="0" applyFont="1" applyFill="1" applyBorder="1" applyAlignment="1">
      <alignment horizontal="center" vertical="center" wrapText="1"/>
    </xf>
    <xf numFmtId="0" fontId="41" fillId="0" borderId="19" xfId="0" applyFont="1" applyBorder="1" applyAlignment="1">
      <alignment horizontal="center" vertical="center" wrapText="1"/>
    </xf>
    <xf numFmtId="0" fontId="41" fillId="0" borderId="20" xfId="0" applyFont="1" applyBorder="1" applyAlignment="1">
      <alignment horizontal="center" vertical="center" wrapText="1"/>
    </xf>
    <xf numFmtId="0" fontId="41" fillId="0" borderId="20" xfId="0" applyFont="1" applyBorder="1" applyAlignment="1">
      <alignment horizontal="left" vertical="center" wrapText="1"/>
    </xf>
    <xf numFmtId="0" fontId="41" fillId="0" borderId="21" xfId="0" applyFont="1" applyBorder="1" applyAlignment="1">
      <alignment horizontal="center" vertical="center" wrapText="1"/>
    </xf>
    <xf numFmtId="0" fontId="41" fillId="8" borderId="19" xfId="0" applyFont="1" applyFill="1" applyBorder="1" applyAlignment="1">
      <alignment horizontal="center" vertical="center" wrapText="1"/>
    </xf>
    <xf numFmtId="0" fontId="41" fillId="8" borderId="21" xfId="0" applyFont="1" applyFill="1" applyBorder="1" applyAlignment="1">
      <alignment horizontal="center" vertical="center" wrapText="1"/>
    </xf>
    <xf numFmtId="0" fontId="36" fillId="0" borderId="0" xfId="0" applyFont="1" applyAlignment="1">
      <alignment vertical="center"/>
    </xf>
    <xf numFmtId="0" fontId="43" fillId="2" borderId="1" xfId="0" applyFont="1" applyFill="1" applyBorder="1" applyAlignment="1">
      <alignment horizontal="center" vertical="center" wrapText="1"/>
    </xf>
    <xf numFmtId="0" fontId="34" fillId="8" borderId="1" xfId="0" applyFont="1" applyFill="1" applyBorder="1" applyAlignment="1">
      <alignment horizontal="center" vertical="center" wrapText="1"/>
    </xf>
    <xf numFmtId="0" fontId="36" fillId="8" borderId="1" xfId="0" applyFont="1" applyFill="1" applyBorder="1" applyAlignment="1">
      <alignment vertical="center" wrapText="1"/>
    </xf>
    <xf numFmtId="0" fontId="12" fillId="0" borderId="0" xfId="2" applyFont="1"/>
    <xf numFmtId="0" fontId="1" fillId="0" borderId="0" xfId="2" applyFont="1"/>
    <xf numFmtId="0" fontId="1" fillId="0" borderId="1" xfId="2" applyFont="1" applyBorder="1" applyAlignment="1">
      <alignment horizontal="center" vertical="center" wrapText="1"/>
    </xf>
    <xf numFmtId="0" fontId="36" fillId="8" borderId="1" xfId="0" applyFont="1" applyFill="1" applyBorder="1" applyAlignment="1">
      <alignment vertical="center"/>
    </xf>
    <xf numFmtId="0" fontId="1" fillId="8" borderId="1" xfId="2" applyFont="1" applyFill="1" applyBorder="1" applyAlignment="1">
      <alignment horizontal="center" vertical="center" wrapText="1"/>
    </xf>
    <xf numFmtId="0" fontId="12" fillId="8" borderId="0" xfId="2" applyFont="1" applyFill="1"/>
    <xf numFmtId="0" fontId="12" fillId="8" borderId="0" xfId="2" applyFont="1" applyFill="1" applyAlignment="1">
      <alignment vertical="center" wrapText="1"/>
    </xf>
    <xf numFmtId="0" fontId="0" fillId="8" borderId="1" xfId="0" applyFill="1" applyBorder="1" applyAlignment="1">
      <alignment vertical="center" wrapText="1"/>
    </xf>
    <xf numFmtId="0" fontId="38" fillId="9" borderId="13" xfId="0" applyFont="1" applyFill="1" applyBorder="1" applyAlignment="1">
      <alignment vertical="center" wrapText="1"/>
    </xf>
    <xf numFmtId="0" fontId="45" fillId="9" borderId="2" xfId="0" applyFont="1" applyFill="1" applyBorder="1" applyAlignment="1">
      <alignment vertical="center" wrapText="1"/>
    </xf>
    <xf numFmtId="49" fontId="34" fillId="8" borderId="1" xfId="0" applyNumberFormat="1" applyFont="1" applyFill="1" applyBorder="1" applyAlignment="1">
      <alignment horizontal="center" vertical="center" wrapText="1"/>
    </xf>
    <xf numFmtId="0" fontId="38" fillId="12" borderId="2" xfId="0" applyFont="1" applyFill="1" applyBorder="1" applyAlignment="1">
      <alignment vertical="center" wrapText="1"/>
    </xf>
    <xf numFmtId="0" fontId="46" fillId="0" borderId="1" xfId="0" applyFont="1" applyBorder="1" applyAlignment="1">
      <alignment vertical="center" wrapText="1"/>
    </xf>
    <xf numFmtId="0" fontId="46" fillId="0" borderId="0" xfId="0" applyFont="1" applyAlignment="1">
      <alignment vertical="center" wrapText="1"/>
    </xf>
    <xf numFmtId="0" fontId="46" fillId="0" borderId="0" xfId="0" applyFont="1" applyAlignment="1">
      <alignment horizontal="center" vertical="center" wrapText="1"/>
    </xf>
    <xf numFmtId="0" fontId="47" fillId="13" borderId="11" xfId="0" applyFont="1" applyFill="1" applyBorder="1" applyAlignment="1">
      <alignment horizontal="center" vertical="center" wrapText="1"/>
    </xf>
    <xf numFmtId="0" fontId="47" fillId="13" borderId="23" xfId="0" applyFont="1" applyFill="1" applyBorder="1" applyAlignment="1">
      <alignment horizontal="center" vertical="center" wrapText="1"/>
    </xf>
    <xf numFmtId="0" fontId="47" fillId="13" borderId="24" xfId="0" applyFont="1" applyFill="1" applyBorder="1" applyAlignment="1">
      <alignment horizontal="center" vertical="center" wrapText="1"/>
    </xf>
    <xf numFmtId="0" fontId="47" fillId="13" borderId="3" xfId="0" applyFont="1" applyFill="1" applyBorder="1" applyAlignment="1">
      <alignment horizontal="center" vertical="center" wrapText="1"/>
    </xf>
    <xf numFmtId="0" fontId="47" fillId="13" borderId="4" xfId="0" applyFont="1" applyFill="1" applyBorder="1" applyAlignment="1">
      <alignment horizontal="center" vertical="center" wrapText="1"/>
    </xf>
    <xf numFmtId="0" fontId="47" fillId="13" borderId="6" xfId="0" applyFont="1" applyFill="1" applyBorder="1" applyAlignment="1">
      <alignment horizontal="center" vertical="center" wrapText="1"/>
    </xf>
    <xf numFmtId="0" fontId="48" fillId="0" borderId="25" xfId="0" applyFont="1" applyBorder="1" applyAlignment="1">
      <alignment horizontal="center" vertical="center" wrapText="1"/>
    </xf>
    <xf numFmtId="0" fontId="48" fillId="0" borderId="2" xfId="0" applyFont="1" applyBorder="1" applyAlignment="1">
      <alignment horizontal="center" vertical="center" wrapText="1"/>
    </xf>
    <xf numFmtId="0" fontId="48" fillId="0" borderId="26" xfId="0" applyFont="1" applyBorder="1" applyAlignment="1">
      <alignment horizontal="center" vertical="center" wrapText="1"/>
    </xf>
    <xf numFmtId="0" fontId="48" fillId="0" borderId="11" xfId="0" applyFont="1" applyBorder="1" applyAlignment="1">
      <alignment horizontal="center" vertical="center" wrapText="1"/>
    </xf>
    <xf numFmtId="0" fontId="48" fillId="0" borderId="23" xfId="0" applyFont="1" applyBorder="1" applyAlignment="1">
      <alignment horizontal="center" vertical="center" wrapText="1"/>
    </xf>
    <xf numFmtId="0" fontId="48" fillId="0" borderId="24" xfId="0" applyFont="1" applyBorder="1" applyAlignment="1">
      <alignment horizontal="center" vertical="center" wrapText="1"/>
    </xf>
    <xf numFmtId="0" fontId="48" fillId="0" borderId="3" xfId="0" applyFont="1" applyBorder="1" applyAlignment="1">
      <alignment horizontal="center" vertical="center" wrapText="1"/>
    </xf>
    <xf numFmtId="0" fontId="46" fillId="0" borderId="27" xfId="0" applyFont="1" applyBorder="1" applyAlignment="1">
      <alignment vertical="center" wrapText="1"/>
    </xf>
    <xf numFmtId="0" fontId="46" fillId="0" borderId="28" xfId="0" applyFont="1" applyBorder="1" applyAlignment="1">
      <alignment vertical="center" wrapText="1"/>
    </xf>
    <xf numFmtId="0" fontId="48" fillId="0" borderId="29" xfId="0" applyFont="1" applyBorder="1" applyAlignment="1">
      <alignment horizontal="center" vertical="center" wrapText="1"/>
    </xf>
    <xf numFmtId="0" fontId="48" fillId="0" borderId="1" xfId="0" applyFont="1" applyBorder="1" applyAlignment="1">
      <alignment horizontal="center" vertical="center" wrapText="1"/>
    </xf>
    <xf numFmtId="0" fontId="48" fillId="0" borderId="22" xfId="0" applyFont="1" applyBorder="1" applyAlignment="1">
      <alignment horizontal="center" vertical="center" wrapText="1"/>
    </xf>
    <xf numFmtId="0" fontId="49" fillId="14" borderId="9" xfId="0" applyFont="1" applyFill="1" applyBorder="1" applyAlignment="1">
      <alignment horizontal="center" vertical="center" wrapText="1"/>
    </xf>
    <xf numFmtId="0" fontId="46" fillId="9" borderId="1" xfId="0" applyFont="1" applyFill="1" applyBorder="1" applyAlignment="1">
      <alignment vertical="center" wrapText="1"/>
    </xf>
    <xf numFmtId="0" fontId="48" fillId="0" borderId="30" xfId="0" applyFont="1" applyBorder="1" applyAlignment="1">
      <alignment horizontal="center" vertical="center" wrapText="1"/>
    </xf>
    <xf numFmtId="0" fontId="48" fillId="0" borderId="0" xfId="0" applyFont="1" applyAlignment="1">
      <alignment vertical="center" wrapText="1"/>
    </xf>
    <xf numFmtId="9" fontId="47" fillId="13" borderId="1" xfId="0" applyNumberFormat="1" applyFont="1" applyFill="1" applyBorder="1" applyAlignment="1">
      <alignment horizontal="center" vertical="center" wrapText="1"/>
    </xf>
    <xf numFmtId="0" fontId="36" fillId="14" borderId="0" xfId="0" applyFont="1" applyFill="1" applyAlignment="1">
      <alignment horizontal="center" vertical="center" wrapText="1"/>
    </xf>
    <xf numFmtId="0" fontId="37" fillId="0" borderId="0" xfId="0" applyFont="1" applyAlignment="1">
      <alignment vertical="center"/>
    </xf>
    <xf numFmtId="9" fontId="0" fillId="0" borderId="0" xfId="0" applyNumberFormat="1"/>
    <xf numFmtId="0" fontId="46" fillId="0" borderId="31" xfId="0" applyFont="1" applyBorder="1" applyAlignment="1">
      <alignment vertical="center" wrapText="1"/>
    </xf>
    <xf numFmtId="0" fontId="49" fillId="0" borderId="20" xfId="0" applyFont="1" applyBorder="1" applyAlignment="1">
      <alignment horizontal="center" vertical="center" wrapText="1"/>
    </xf>
    <xf numFmtId="0" fontId="48" fillId="0" borderId="32" xfId="0" applyFont="1" applyBorder="1" applyAlignment="1">
      <alignment horizontal="center" vertical="center" wrapText="1"/>
    </xf>
    <xf numFmtId="0" fontId="48" fillId="0" borderId="20" xfId="0" applyFont="1" applyBorder="1" applyAlignment="1">
      <alignment horizontal="center" vertical="center" wrapText="1"/>
    </xf>
    <xf numFmtId="0" fontId="48" fillId="0" borderId="33" xfId="0" applyFont="1" applyBorder="1" applyAlignment="1">
      <alignment horizontal="center" vertical="center" wrapText="1"/>
    </xf>
    <xf numFmtId="0" fontId="46" fillId="0" borderId="20" xfId="0" applyFont="1" applyBorder="1" applyAlignment="1">
      <alignment vertical="center" wrapText="1"/>
    </xf>
    <xf numFmtId="0" fontId="48" fillId="0" borderId="34" xfId="0" applyFont="1" applyBorder="1" applyAlignment="1">
      <alignment horizontal="center" vertical="center" wrapText="1"/>
    </xf>
    <xf numFmtId="0" fontId="48" fillId="0" borderId="23" xfId="0" applyFont="1" applyBorder="1" applyAlignment="1">
      <alignment vertical="center" wrapText="1"/>
    </xf>
    <xf numFmtId="0" fontId="48" fillId="0" borderId="3" xfId="0" applyFont="1" applyBorder="1" applyAlignment="1">
      <alignment vertical="center" wrapText="1"/>
    </xf>
    <xf numFmtId="0" fontId="48" fillId="0" borderId="34" xfId="0" applyFont="1" applyBorder="1" applyAlignment="1">
      <alignment vertical="center" wrapText="1"/>
    </xf>
    <xf numFmtId="0" fontId="48" fillId="0" borderId="35" xfId="0" applyFont="1" applyBorder="1" applyAlignment="1">
      <alignment vertical="center" wrapText="1"/>
    </xf>
    <xf numFmtId="0" fontId="48" fillId="8" borderId="27" xfId="0" applyFont="1" applyFill="1" applyBorder="1" applyAlignment="1">
      <alignment horizontal="center" vertical="center" wrapText="1"/>
    </xf>
    <xf numFmtId="0" fontId="48" fillId="8" borderId="36" xfId="0" applyFont="1" applyFill="1" applyBorder="1" applyAlignment="1">
      <alignment horizontal="center" vertical="center" wrapText="1"/>
    </xf>
    <xf numFmtId="0" fontId="48" fillId="8" borderId="37" xfId="0" applyFont="1" applyFill="1" applyBorder="1" applyAlignment="1">
      <alignment horizontal="center" vertical="center" wrapText="1"/>
    </xf>
    <xf numFmtId="0" fontId="37" fillId="0" borderId="20" xfId="0" applyFont="1" applyBorder="1" applyAlignment="1">
      <alignment vertical="center"/>
    </xf>
    <xf numFmtId="9" fontId="34" fillId="0" borderId="0" xfId="3" applyFont="1" applyFill="1" applyBorder="1" applyAlignment="1">
      <alignment vertical="center" wrapText="1"/>
    </xf>
    <xf numFmtId="0" fontId="0" fillId="0" borderId="0" xfId="0" applyAlignment="1">
      <alignment vertical="center" wrapText="1"/>
    </xf>
    <xf numFmtId="0" fontId="34" fillId="0" borderId="20" xfId="0" applyFont="1" applyBorder="1" applyAlignment="1">
      <alignment horizontal="center" vertical="center" wrapText="1"/>
    </xf>
    <xf numFmtId="0" fontId="36" fillId="14" borderId="1" xfId="0" applyFont="1" applyFill="1" applyBorder="1" applyAlignment="1">
      <alignment horizontal="center" vertical="center" wrapText="1"/>
    </xf>
    <xf numFmtId="0" fontId="50" fillId="13" borderId="1" xfId="0" applyFont="1" applyFill="1" applyBorder="1" applyAlignment="1">
      <alignment horizontal="center" vertical="center" wrapText="1"/>
    </xf>
    <xf numFmtId="0" fontId="34" fillId="0" borderId="0" xfId="0" applyFont="1" applyAlignment="1">
      <alignment horizontal="center" vertical="center" wrapText="1"/>
    </xf>
    <xf numFmtId="0" fontId="50" fillId="13" borderId="13" xfId="0" applyFont="1" applyFill="1" applyBorder="1" applyAlignment="1">
      <alignment horizontal="center" vertical="center" wrapText="1"/>
    </xf>
    <xf numFmtId="0" fontId="36" fillId="9" borderId="1" xfId="0" applyFont="1" applyFill="1" applyBorder="1" applyAlignment="1">
      <alignment vertical="center" wrapText="1"/>
    </xf>
    <xf numFmtId="0" fontId="0" fillId="0" borderId="0" xfId="0" applyAlignment="1">
      <alignment vertical="center"/>
    </xf>
    <xf numFmtId="49" fontId="51" fillId="8" borderId="1" xfId="0" applyNumberFormat="1" applyFont="1" applyFill="1" applyBorder="1" applyAlignment="1">
      <alignment horizontal="justify" vertical="center" wrapText="1"/>
    </xf>
    <xf numFmtId="49" fontId="52" fillId="0" borderId="1" xfId="0" applyNumberFormat="1" applyFont="1" applyBorder="1" applyAlignment="1">
      <alignment horizontal="justify" vertical="center" wrapText="1"/>
    </xf>
    <xf numFmtId="49" fontId="52" fillId="0" borderId="1" xfId="0" applyNumberFormat="1" applyFont="1" applyBorder="1" applyAlignment="1">
      <alignment vertical="center" wrapText="1"/>
    </xf>
    <xf numFmtId="49" fontId="53" fillId="0" borderId="1" xfId="0" applyNumberFormat="1" applyFont="1" applyBorder="1" applyAlignment="1">
      <alignment vertical="center" wrapText="1"/>
    </xf>
    <xf numFmtId="0" fontId="43" fillId="13" borderId="1" xfId="0" applyFont="1" applyFill="1" applyBorder="1" applyAlignment="1">
      <alignment horizontal="center" vertical="center" wrapText="1"/>
    </xf>
    <xf numFmtId="0" fontId="47" fillId="13" borderId="1" xfId="0" applyFont="1" applyFill="1" applyBorder="1" applyAlignment="1">
      <alignment vertical="center" wrapText="1"/>
    </xf>
    <xf numFmtId="0" fontId="46" fillId="0" borderId="38" xfId="0" applyFont="1" applyBorder="1" applyAlignment="1">
      <alignment vertical="center" wrapText="1"/>
    </xf>
    <xf numFmtId="0" fontId="49" fillId="0" borderId="9" xfId="0" applyFont="1" applyBorder="1" applyAlignment="1">
      <alignment vertical="center" wrapText="1"/>
    </xf>
    <xf numFmtId="0" fontId="46" fillId="0" borderId="8" xfId="0" applyFont="1" applyBorder="1" applyAlignment="1">
      <alignment vertical="center" wrapText="1"/>
    </xf>
    <xf numFmtId="0" fontId="46" fillId="0" borderId="39" xfId="0" applyFont="1" applyBorder="1" applyAlignment="1">
      <alignment horizontal="justify" vertical="center" wrapText="1"/>
    </xf>
    <xf numFmtId="0" fontId="48" fillId="0" borderId="39" xfId="0" applyFont="1" applyBorder="1" applyAlignment="1">
      <alignment horizontal="center" vertical="center"/>
    </xf>
    <xf numFmtId="0" fontId="46" fillId="0" borderId="11" xfId="0" applyFont="1" applyBorder="1" applyAlignment="1">
      <alignment vertical="center" wrapText="1"/>
    </xf>
    <xf numFmtId="0" fontId="49" fillId="0" borderId="10" xfId="0" applyFont="1" applyBorder="1" applyAlignment="1">
      <alignment vertical="center" wrapText="1"/>
    </xf>
    <xf numFmtId="0" fontId="46" fillId="0" borderId="8" xfId="0" applyFont="1" applyBorder="1" applyAlignment="1">
      <alignment horizontal="justify" vertical="center" wrapText="1"/>
    </xf>
    <xf numFmtId="0" fontId="48" fillId="0" borderId="8" xfId="0" applyFont="1" applyBorder="1" applyAlignment="1">
      <alignment horizontal="center" vertical="center" wrapText="1"/>
    </xf>
    <xf numFmtId="0" fontId="46" fillId="0" borderId="14" xfId="0" applyFont="1" applyBorder="1" applyAlignment="1">
      <alignment horizontal="justify" vertical="center" wrapText="1"/>
    </xf>
    <xf numFmtId="0" fontId="48" fillId="0" borderId="14" xfId="0" applyFont="1" applyBorder="1" applyAlignment="1">
      <alignment horizontal="center" vertical="center" wrapText="1"/>
    </xf>
    <xf numFmtId="0" fontId="54" fillId="0" borderId="8" xfId="0" applyFont="1" applyBorder="1" applyAlignment="1">
      <alignment horizontal="justify" vertical="center"/>
    </xf>
    <xf numFmtId="0" fontId="48" fillId="0" borderId="8" xfId="0" applyFont="1" applyBorder="1" applyAlignment="1">
      <alignment horizontal="center" vertical="center"/>
    </xf>
    <xf numFmtId="0" fontId="46" fillId="0" borderId="8" xfId="0" applyFont="1" applyBorder="1" applyAlignment="1">
      <alignment horizontal="justify" vertical="center"/>
    </xf>
    <xf numFmtId="0" fontId="54" fillId="0" borderId="11" xfId="0" applyFont="1" applyBorder="1" applyAlignment="1">
      <alignment vertical="center"/>
    </xf>
    <xf numFmtId="0" fontId="55" fillId="0" borderId="11" xfId="0" applyFont="1" applyBorder="1" applyAlignment="1">
      <alignment horizontal="center" vertical="center"/>
    </xf>
    <xf numFmtId="0" fontId="56" fillId="0" borderId="19" xfId="0" applyFont="1" applyBorder="1" applyAlignment="1">
      <alignment vertical="center" wrapText="1"/>
    </xf>
    <xf numFmtId="0" fontId="48" fillId="0" borderId="30" xfId="0" applyFont="1" applyBorder="1" applyAlignment="1">
      <alignment vertical="center" wrapText="1"/>
    </xf>
    <xf numFmtId="0" fontId="0" fillId="0" borderId="38" xfId="0" applyBorder="1" applyAlignment="1">
      <alignment vertical="center" wrapText="1"/>
    </xf>
    <xf numFmtId="0" fontId="0" fillId="0" borderId="31" xfId="0" applyBorder="1" applyAlignment="1">
      <alignment vertical="center" wrapText="1"/>
    </xf>
    <xf numFmtId="0" fontId="32" fillId="2" borderId="10" xfId="0" applyFont="1" applyFill="1" applyBorder="1" applyAlignment="1">
      <alignment horizontal="center" vertical="center" wrapText="1"/>
    </xf>
    <xf numFmtId="0" fontId="0" fillId="12" borderId="2" xfId="0" applyFill="1" applyBorder="1" applyAlignment="1">
      <alignment vertical="center" wrapText="1"/>
    </xf>
    <xf numFmtId="0" fontId="0" fillId="14" borderId="13" xfId="0" applyFill="1" applyBorder="1" applyAlignment="1">
      <alignment vertical="center" wrapText="1"/>
    </xf>
    <xf numFmtId="0" fontId="0" fillId="0" borderId="40" xfId="0" applyBorder="1" applyAlignment="1">
      <alignment vertical="center" wrapText="1"/>
    </xf>
    <xf numFmtId="0" fontId="0" fillId="0" borderId="18" xfId="0" applyBorder="1" applyAlignment="1">
      <alignment vertical="center" wrapText="1"/>
    </xf>
    <xf numFmtId="0" fontId="0" fillId="0" borderId="2" xfId="0" applyBorder="1" applyAlignment="1">
      <alignment vertical="center" wrapText="1"/>
    </xf>
    <xf numFmtId="0" fontId="57" fillId="15" borderId="1" xfId="0" applyFont="1" applyFill="1" applyBorder="1" applyAlignment="1">
      <alignment vertical="center" wrapText="1"/>
    </xf>
    <xf numFmtId="9" fontId="0" fillId="0" borderId="1" xfId="0" applyNumberFormat="1" applyBorder="1" applyAlignment="1">
      <alignment vertical="center" wrapText="1"/>
    </xf>
    <xf numFmtId="9" fontId="0" fillId="0" borderId="1" xfId="0" applyNumberFormat="1" applyBorder="1" applyAlignment="1">
      <alignment horizontal="center" vertical="center" wrapText="1"/>
    </xf>
    <xf numFmtId="0" fontId="0" fillId="0" borderId="41" xfId="0" applyBorder="1" applyAlignment="1">
      <alignment vertical="center" wrapText="1"/>
    </xf>
    <xf numFmtId="0" fontId="0" fillId="0" borderId="42" xfId="0" applyBorder="1" applyAlignment="1">
      <alignment vertical="center" wrapText="1"/>
    </xf>
    <xf numFmtId="0" fontId="0" fillId="0" borderId="43" xfId="0" applyBorder="1" applyAlignment="1">
      <alignment vertical="center" wrapText="1"/>
    </xf>
    <xf numFmtId="0" fontId="43" fillId="13" borderId="13" xfId="0" applyFont="1" applyFill="1" applyBorder="1" applyAlignment="1">
      <alignment horizontal="center" vertical="center" wrapText="1"/>
    </xf>
    <xf numFmtId="0" fontId="57" fillId="15" borderId="40" xfId="0" applyFont="1" applyFill="1" applyBorder="1" applyAlignment="1">
      <alignment horizontal="justify" vertical="center" wrapText="1"/>
    </xf>
    <xf numFmtId="0" fontId="34" fillId="0" borderId="40" xfId="0" applyFont="1" applyBorder="1" applyAlignment="1">
      <alignment horizontal="justify" vertical="center" wrapText="1"/>
    </xf>
    <xf numFmtId="0" fontId="0" fillId="0" borderId="40" xfId="0" applyBorder="1" applyAlignment="1">
      <alignment horizontal="justify" vertical="center" wrapText="1"/>
    </xf>
    <xf numFmtId="0" fontId="57" fillId="0" borderId="40" xfId="0" applyFont="1" applyBorder="1" applyAlignment="1">
      <alignment horizontal="justify" vertical="center" wrapText="1"/>
    </xf>
    <xf numFmtId="0" fontId="38" fillId="0" borderId="44" xfId="0" applyFont="1" applyBorder="1" applyAlignment="1">
      <alignment horizontal="justify" vertical="center"/>
    </xf>
    <xf numFmtId="0" fontId="0" fillId="0" borderId="40" xfId="0" applyBorder="1" applyAlignment="1">
      <alignment horizontal="justify" vertical="center"/>
    </xf>
    <xf numFmtId="0" fontId="0" fillId="16" borderId="40" xfId="0" applyFill="1" applyBorder="1" applyAlignment="1">
      <alignment horizontal="justify" vertical="center" wrapText="1"/>
    </xf>
    <xf numFmtId="0" fontId="58" fillId="0" borderId="40" xfId="0" applyFont="1" applyBorder="1" applyAlignment="1">
      <alignment horizontal="justify" vertical="center" wrapText="1"/>
    </xf>
    <xf numFmtId="0" fontId="0" fillId="8" borderId="26" xfId="0" applyFill="1" applyBorder="1" applyAlignment="1">
      <alignment vertical="center" wrapText="1"/>
    </xf>
    <xf numFmtId="0" fontId="0" fillId="8" borderId="25" xfId="0" applyFill="1" applyBorder="1" applyAlignment="1">
      <alignment vertical="center" wrapText="1"/>
    </xf>
    <xf numFmtId="0" fontId="0" fillId="15" borderId="40" xfId="0" applyFill="1" applyBorder="1" applyAlignment="1">
      <alignment horizontal="justify" vertical="center" wrapText="1"/>
    </xf>
    <xf numFmtId="0" fontId="0" fillId="0" borderId="45" xfId="0" applyBorder="1" applyAlignment="1">
      <alignment horizontal="justify" vertical="center" wrapText="1"/>
    </xf>
    <xf numFmtId="0" fontId="0" fillId="0" borderId="45" xfId="0" applyBorder="1" applyAlignment="1">
      <alignment horizontal="justify" vertical="center"/>
    </xf>
    <xf numFmtId="0" fontId="0" fillId="0" borderId="45" xfId="0" applyBorder="1" applyAlignment="1">
      <alignment vertical="center" wrapText="1"/>
    </xf>
    <xf numFmtId="0" fontId="58" fillId="0" borderId="1" xfId="0" applyFont="1" applyBorder="1" applyAlignment="1">
      <alignment horizontal="justify" vertical="center" wrapText="1"/>
    </xf>
    <xf numFmtId="0" fontId="0" fillId="8" borderId="33" xfId="0" applyFill="1" applyBorder="1" applyAlignment="1">
      <alignment vertical="center" wrapText="1"/>
    </xf>
    <xf numFmtId="0" fontId="0" fillId="8" borderId="32" xfId="0" applyFill="1" applyBorder="1" applyAlignment="1">
      <alignment vertical="center" wrapText="1"/>
    </xf>
    <xf numFmtId="0" fontId="58" fillId="0" borderId="0" xfId="0" applyFont="1" applyAlignment="1">
      <alignment horizontal="justify" vertical="center" wrapText="1"/>
    </xf>
    <xf numFmtId="0" fontId="0" fillId="8" borderId="0" xfId="0" applyFill="1" applyAlignment="1">
      <alignment vertical="center" wrapText="1"/>
    </xf>
    <xf numFmtId="0" fontId="32" fillId="13" borderId="13" xfId="0" applyFont="1" applyFill="1" applyBorder="1" applyAlignment="1">
      <alignment horizontal="center" vertical="center" wrapText="1"/>
    </xf>
    <xf numFmtId="0" fontId="32" fillId="13" borderId="1" xfId="0" applyFont="1" applyFill="1" applyBorder="1" applyAlignment="1">
      <alignment vertical="center" wrapText="1"/>
    </xf>
    <xf numFmtId="9" fontId="32" fillId="13" borderId="1" xfId="0" applyNumberFormat="1" applyFont="1" applyFill="1" applyBorder="1" applyAlignment="1">
      <alignment horizontal="center" vertical="center" wrapText="1"/>
    </xf>
    <xf numFmtId="0" fontId="32" fillId="13" borderId="1" xfId="0" applyFont="1" applyFill="1" applyBorder="1" applyAlignment="1">
      <alignment horizontal="center" vertical="center" wrapText="1"/>
    </xf>
    <xf numFmtId="0" fontId="36" fillId="0" borderId="38" xfId="0" applyFont="1" applyBorder="1" applyAlignment="1">
      <alignment vertical="center"/>
    </xf>
    <xf numFmtId="0" fontId="36" fillId="0" borderId="31" xfId="0" applyFont="1" applyBorder="1" applyAlignment="1">
      <alignment vertical="center"/>
    </xf>
    <xf numFmtId="0" fontId="43" fillId="2" borderId="46" xfId="0" applyFont="1" applyFill="1" applyBorder="1" applyAlignment="1">
      <alignment horizontal="center" vertical="center" wrapText="1"/>
    </xf>
    <xf numFmtId="0" fontId="43" fillId="2" borderId="37" xfId="0" applyFont="1" applyFill="1" applyBorder="1" applyAlignment="1">
      <alignment horizontal="center" vertical="center" wrapText="1"/>
    </xf>
    <xf numFmtId="0" fontId="36" fillId="0" borderId="40" xfId="0" applyFont="1" applyBorder="1" applyAlignment="1">
      <alignment vertical="center" wrapText="1"/>
    </xf>
    <xf numFmtId="0" fontId="36" fillId="0" borderId="22" xfId="0" applyFont="1" applyBorder="1" applyAlignment="1">
      <alignment horizontal="justify" vertical="center" wrapText="1"/>
    </xf>
    <xf numFmtId="0" fontId="37" fillId="0" borderId="1" xfId="0" applyFont="1" applyBorder="1" applyAlignment="1">
      <alignment horizontal="center" vertical="center"/>
    </xf>
    <xf numFmtId="0" fontId="37" fillId="8" borderId="1" xfId="0" applyFont="1" applyFill="1" applyBorder="1" applyAlignment="1">
      <alignment horizontal="center" vertical="center"/>
    </xf>
    <xf numFmtId="0" fontId="36" fillId="0" borderId="22" xfId="0" applyFont="1" applyBorder="1" applyAlignment="1">
      <alignment horizontal="justify" vertical="center"/>
    </xf>
    <xf numFmtId="0" fontId="45" fillId="0" borderId="16" xfId="0" applyFont="1" applyBorder="1" applyAlignment="1">
      <alignment vertical="center" wrapText="1"/>
    </xf>
    <xf numFmtId="0" fontId="53" fillId="0" borderId="40" xfId="0" applyFont="1" applyBorder="1" applyAlignment="1">
      <alignment vertical="center" wrapText="1"/>
    </xf>
    <xf numFmtId="0" fontId="37" fillId="0" borderId="38" xfId="0" applyFont="1" applyBorder="1" applyAlignment="1">
      <alignment vertical="center"/>
    </xf>
    <xf numFmtId="0" fontId="37" fillId="0" borderId="47" xfId="0" applyFont="1" applyBorder="1" applyAlignment="1">
      <alignment vertical="center" wrapText="1"/>
    </xf>
    <xf numFmtId="0" fontId="37" fillId="0" borderId="31" xfId="0" applyFont="1" applyBorder="1" applyAlignment="1">
      <alignment vertical="center"/>
    </xf>
    <xf numFmtId="0" fontId="45" fillId="0" borderId="46" xfId="0" applyFont="1" applyBorder="1" applyAlignment="1">
      <alignment vertical="top" wrapText="1" readingOrder="1"/>
    </xf>
    <xf numFmtId="0" fontId="45" fillId="9" borderId="0" xfId="0" applyFont="1" applyFill="1" applyAlignment="1">
      <alignment vertical="center" wrapText="1"/>
    </xf>
    <xf numFmtId="0" fontId="52" fillId="0" borderId="22" xfId="0" applyFont="1" applyBorder="1" applyAlignment="1">
      <alignment horizontal="justify" vertical="center" wrapText="1" readingOrder="1"/>
    </xf>
    <xf numFmtId="0" fontId="36" fillId="0" borderId="1" xfId="0" applyFont="1" applyBorder="1"/>
    <xf numFmtId="0" fontId="36" fillId="0" borderId="0" xfId="0" applyFont="1" applyAlignment="1">
      <alignment vertical="center" wrapText="1"/>
    </xf>
    <xf numFmtId="0" fontId="52" fillId="0" borderId="22" xfId="0" applyFont="1" applyBorder="1" applyAlignment="1">
      <alignment horizontal="left" vertical="center" wrapText="1" readingOrder="1"/>
    </xf>
    <xf numFmtId="0" fontId="52" fillId="16" borderId="22" xfId="0" applyFont="1" applyFill="1" applyBorder="1" applyAlignment="1">
      <alignment horizontal="justify" readingOrder="1"/>
    </xf>
    <xf numFmtId="0" fontId="36" fillId="16" borderId="1" xfId="0" applyFont="1" applyFill="1" applyBorder="1" applyAlignment="1">
      <alignment horizontal="center" vertical="center"/>
    </xf>
    <xf numFmtId="0" fontId="37" fillId="16" borderId="1" xfId="0" applyFont="1" applyFill="1" applyBorder="1" applyAlignment="1">
      <alignment horizontal="center" vertical="center"/>
    </xf>
    <xf numFmtId="0" fontId="37" fillId="0" borderId="41" xfId="0" applyFont="1" applyBorder="1" applyAlignment="1">
      <alignment vertical="center"/>
    </xf>
    <xf numFmtId="0" fontId="37" fillId="0" borderId="20" xfId="0" applyFont="1" applyBorder="1" applyAlignment="1">
      <alignment horizontal="center" vertical="center"/>
    </xf>
    <xf numFmtId="0" fontId="37" fillId="0" borderId="43" xfId="0" applyFont="1" applyBorder="1" applyAlignment="1">
      <alignment vertical="center"/>
    </xf>
    <xf numFmtId="0" fontId="43" fillId="13" borderId="1" xfId="0" applyFont="1" applyFill="1" applyBorder="1" applyAlignment="1">
      <alignment vertical="center" wrapText="1"/>
    </xf>
    <xf numFmtId="9" fontId="43" fillId="13" borderId="1" xfId="0" applyNumberFormat="1" applyFont="1" applyFill="1" applyBorder="1" applyAlignment="1">
      <alignment horizontal="center" vertical="center" wrapText="1"/>
    </xf>
    <xf numFmtId="0" fontId="37" fillId="8" borderId="1" xfId="0" applyFont="1" applyFill="1" applyBorder="1" applyAlignment="1">
      <alignment horizontal="center" vertical="center" wrapText="1"/>
    </xf>
    <xf numFmtId="0" fontId="43" fillId="2" borderId="2" xfId="0" applyFont="1" applyFill="1" applyBorder="1" applyAlignment="1">
      <alignment horizontal="center" vertical="center" wrapText="1"/>
    </xf>
    <xf numFmtId="0" fontId="45" fillId="0" borderId="1" xfId="0" applyFont="1" applyBorder="1" applyAlignment="1">
      <alignment horizontal="justify" vertical="center" readingOrder="1"/>
    </xf>
    <xf numFmtId="0" fontId="45" fillId="9" borderId="1" xfId="0" applyFont="1" applyFill="1" applyBorder="1" applyAlignment="1">
      <alignment vertical="center" wrapText="1"/>
    </xf>
    <xf numFmtId="0" fontId="45" fillId="0" borderId="10" xfId="0" applyFont="1" applyBorder="1" applyAlignment="1">
      <alignment horizontal="justify" vertical="center" readingOrder="1"/>
    </xf>
    <xf numFmtId="9" fontId="36" fillId="0" borderId="1" xfId="0" applyNumberFormat="1" applyFont="1" applyBorder="1" applyAlignment="1">
      <alignment vertical="center"/>
    </xf>
    <xf numFmtId="0" fontId="52" fillId="0" borderId="1" xfId="0" applyFont="1" applyBorder="1" applyAlignment="1">
      <alignment horizontal="justify" vertical="center" wrapText="1" readingOrder="1"/>
    </xf>
    <xf numFmtId="0" fontId="45" fillId="0" borderId="8" xfId="0" applyFont="1" applyBorder="1" applyAlignment="1">
      <alignment horizontal="justify" vertical="center" wrapText="1" readingOrder="1"/>
    </xf>
    <xf numFmtId="9" fontId="36" fillId="0" borderId="0" xfId="0" applyNumberFormat="1" applyFont="1" applyAlignment="1">
      <alignment vertical="center"/>
    </xf>
    <xf numFmtId="0" fontId="45" fillId="0" borderId="8" xfId="0" applyFont="1" applyBorder="1" applyAlignment="1">
      <alignment horizontal="justify" vertical="center" readingOrder="1"/>
    </xf>
    <xf numFmtId="0" fontId="36" fillId="0" borderId="1" xfId="0" applyFont="1" applyBorder="1" applyAlignment="1">
      <alignment horizontal="justify" vertical="center" readingOrder="1"/>
    </xf>
    <xf numFmtId="0" fontId="36" fillId="0" borderId="1" xfId="0" applyFont="1" applyBorder="1" applyAlignment="1">
      <alignment horizontal="justify" vertical="center" wrapText="1" readingOrder="1"/>
    </xf>
    <xf numFmtId="0" fontId="52" fillId="0" borderId="1" xfId="0" applyFont="1" applyBorder="1" applyAlignment="1">
      <alignment horizontal="justify" vertical="center" readingOrder="1"/>
    </xf>
    <xf numFmtId="9" fontId="43" fillId="13" borderId="1" xfId="3" applyFont="1" applyFill="1" applyBorder="1" applyAlignment="1">
      <alignment horizontal="center" vertical="center" wrapText="1"/>
    </xf>
    <xf numFmtId="0" fontId="59" fillId="0" borderId="0" xfId="0" applyFont="1" applyAlignment="1">
      <alignment vertical="center"/>
    </xf>
    <xf numFmtId="0" fontId="37" fillId="0" borderId="0" xfId="0" applyFont="1" applyAlignment="1">
      <alignment horizontal="center" vertical="center"/>
    </xf>
    <xf numFmtId="0" fontId="36" fillId="17" borderId="1" xfId="0" applyFont="1" applyFill="1" applyBorder="1" applyAlignment="1">
      <alignment vertical="center"/>
    </xf>
    <xf numFmtId="0" fontId="50" fillId="2" borderId="46" xfId="0" applyFont="1" applyFill="1" applyBorder="1" applyAlignment="1">
      <alignment horizontal="center" vertical="center" wrapText="1"/>
    </xf>
    <xf numFmtId="0" fontId="60" fillId="17" borderId="1" xfId="0" applyFont="1" applyFill="1" applyBorder="1" applyAlignment="1">
      <alignment horizontal="justify" vertical="center"/>
    </xf>
    <xf numFmtId="9" fontId="36" fillId="17" borderId="1" xfId="0" applyNumberFormat="1" applyFont="1" applyFill="1" applyBorder="1" applyAlignment="1">
      <alignment horizontal="center" vertical="center"/>
    </xf>
    <xf numFmtId="0" fontId="60" fillId="0" borderId="1" xfId="0" applyFont="1" applyBorder="1" applyAlignment="1">
      <alignment horizontal="justify" vertical="center"/>
    </xf>
    <xf numFmtId="0" fontId="60" fillId="0" borderId="9" xfId="0" applyFont="1" applyBorder="1" applyAlignment="1">
      <alignment horizontal="justify" vertical="center"/>
    </xf>
    <xf numFmtId="0" fontId="41" fillId="0" borderId="1" xfId="0" applyFont="1" applyBorder="1" applyAlignment="1">
      <alignment horizontal="justify" vertical="center"/>
    </xf>
    <xf numFmtId="0" fontId="60" fillId="0" borderId="8" xfId="0" applyFont="1" applyBorder="1" applyAlignment="1">
      <alignment horizontal="justify" vertical="center"/>
    </xf>
    <xf numFmtId="0" fontId="41" fillId="0" borderId="1" xfId="0" applyFont="1" applyBorder="1" applyAlignment="1">
      <alignment horizontal="justify" vertical="center" wrapText="1"/>
    </xf>
    <xf numFmtId="0" fontId="60" fillId="0" borderId="48" xfId="0" applyFont="1" applyBorder="1" applyAlignment="1">
      <alignment horizontal="justify" vertical="center"/>
    </xf>
    <xf numFmtId="0" fontId="59" fillId="0" borderId="1" xfId="0" applyFont="1" applyBorder="1" applyAlignment="1">
      <alignment horizontal="justify" vertical="top"/>
    </xf>
    <xf numFmtId="0" fontId="59" fillId="0" borderId="1" xfId="0" applyFont="1" applyBorder="1" applyAlignment="1">
      <alignment horizontal="justify" vertical="center" wrapText="1"/>
    </xf>
    <xf numFmtId="0" fontId="59" fillId="0" borderId="1" xfId="0" applyFont="1" applyBorder="1" applyAlignment="1">
      <alignment horizontal="justify" vertical="center"/>
    </xf>
    <xf numFmtId="0" fontId="36" fillId="8" borderId="0" xfId="0" applyFont="1" applyFill="1" applyAlignment="1">
      <alignment vertical="center"/>
    </xf>
    <xf numFmtId="0" fontId="50" fillId="13" borderId="1" xfId="0" applyFont="1" applyFill="1" applyBorder="1" applyAlignment="1">
      <alignment vertical="center" wrapText="1"/>
    </xf>
    <xf numFmtId="9" fontId="50" fillId="13" borderId="1" xfId="3" applyFont="1" applyFill="1" applyBorder="1" applyAlignment="1">
      <alignment horizontal="center" vertical="center" wrapText="1"/>
    </xf>
    <xf numFmtId="0" fontId="59" fillId="0" borderId="2" xfId="0" applyFont="1" applyBorder="1" applyAlignment="1">
      <alignment vertical="center"/>
    </xf>
    <xf numFmtId="0" fontId="37" fillId="0" borderId="26" xfId="0" applyFont="1" applyBorder="1" applyAlignment="1">
      <alignment horizontal="center" vertical="center"/>
    </xf>
    <xf numFmtId="0" fontId="37" fillId="0" borderId="2" xfId="0" applyFont="1" applyBorder="1" applyAlignment="1">
      <alignment horizontal="center" vertical="center"/>
    </xf>
    <xf numFmtId="0" fontId="36" fillId="0" borderId="2" xfId="0" applyFont="1" applyBorder="1" applyAlignment="1">
      <alignment vertical="center"/>
    </xf>
    <xf numFmtId="0" fontId="50" fillId="2" borderId="1" xfId="0" applyFont="1" applyFill="1" applyBorder="1" applyAlignment="1">
      <alignment horizontal="center" vertical="center" wrapText="1"/>
    </xf>
    <xf numFmtId="0" fontId="60" fillId="0" borderId="1" xfId="0" applyFont="1" applyBorder="1" applyAlignment="1">
      <alignment vertical="center"/>
    </xf>
    <xf numFmtId="0" fontId="60" fillId="0" borderId="1" xfId="0" applyFont="1" applyBorder="1" applyAlignment="1">
      <alignment horizontal="justify" vertical="center" wrapText="1"/>
    </xf>
    <xf numFmtId="0" fontId="41" fillId="0" borderId="0" xfId="0" applyFont="1" applyAlignment="1">
      <alignment horizontal="justify" vertical="center"/>
    </xf>
    <xf numFmtId="9" fontId="50" fillId="13" borderId="22" xfId="3" applyFont="1" applyFill="1" applyBorder="1" applyAlignment="1">
      <alignment horizontal="center" vertical="center" wrapText="1"/>
    </xf>
    <xf numFmtId="0" fontId="59" fillId="0" borderId="0" xfId="0" applyFont="1" applyAlignment="1">
      <alignment vertical="center" wrapText="1"/>
    </xf>
    <xf numFmtId="0" fontId="37" fillId="8" borderId="22" xfId="0" applyFont="1" applyFill="1" applyBorder="1" applyAlignment="1">
      <alignment horizontal="center" vertical="center" wrapText="1"/>
    </xf>
    <xf numFmtId="0" fontId="36" fillId="8" borderId="0" xfId="0" applyFont="1" applyFill="1" applyAlignment="1">
      <alignment vertical="center" wrapText="1"/>
    </xf>
    <xf numFmtId="0" fontId="36" fillId="8" borderId="17" xfId="0" applyFont="1" applyFill="1" applyBorder="1" applyAlignment="1">
      <alignment horizontal="justify" vertical="center" wrapText="1" readingOrder="1"/>
    </xf>
    <xf numFmtId="0" fontId="51" fillId="8" borderId="1" xfId="0" applyFont="1" applyFill="1" applyBorder="1" applyAlignment="1">
      <alignment vertical="center" wrapText="1"/>
    </xf>
    <xf numFmtId="0" fontId="37" fillId="8" borderId="0" xfId="0" applyFont="1" applyFill="1" applyAlignment="1">
      <alignment horizontal="center" vertical="center" wrapText="1"/>
    </xf>
    <xf numFmtId="0" fontId="45" fillId="8" borderId="17" xfId="0" applyFont="1" applyFill="1" applyBorder="1" applyAlignment="1">
      <alignment horizontal="justify" vertical="center" wrapText="1"/>
    </xf>
    <xf numFmtId="0" fontId="52" fillId="8" borderId="17" xfId="0" applyFont="1" applyFill="1" applyBorder="1" applyAlignment="1">
      <alignment horizontal="justify" vertical="center" wrapText="1"/>
    </xf>
    <xf numFmtId="0" fontId="36" fillId="8" borderId="17" xfId="0" applyFont="1" applyFill="1" applyBorder="1" applyAlignment="1">
      <alignment vertical="center" wrapText="1"/>
    </xf>
    <xf numFmtId="0" fontId="45" fillId="8" borderId="17" xfId="0" applyFont="1" applyFill="1" applyBorder="1" applyAlignment="1">
      <alignment horizontal="justify" vertical="center" readingOrder="1"/>
    </xf>
    <xf numFmtId="0" fontId="52" fillId="8" borderId="17" xfId="0" applyFont="1" applyFill="1" applyBorder="1" applyAlignment="1">
      <alignment horizontal="justify" vertical="center" readingOrder="1"/>
    </xf>
    <xf numFmtId="0" fontId="52" fillId="8" borderId="17" xfId="0" applyFont="1" applyFill="1" applyBorder="1" applyAlignment="1">
      <alignment horizontal="justify" vertical="center" wrapText="1" readingOrder="1"/>
    </xf>
    <xf numFmtId="0" fontId="36" fillId="8" borderId="17" xfId="0" applyFont="1" applyFill="1" applyBorder="1" applyAlignment="1">
      <alignment horizontal="left" vertical="center" readingOrder="1"/>
    </xf>
    <xf numFmtId="0" fontId="36" fillId="8" borderId="17" xfId="0" applyFont="1" applyFill="1" applyBorder="1" applyAlignment="1">
      <alignment horizontal="justify" vertical="center" readingOrder="1"/>
    </xf>
    <xf numFmtId="0" fontId="45" fillId="8" borderId="17" xfId="0" applyFont="1" applyFill="1" applyBorder="1" applyAlignment="1">
      <alignment vertical="center" wrapText="1" readingOrder="1"/>
    </xf>
    <xf numFmtId="0" fontId="45" fillId="8" borderId="17" xfId="0" applyFont="1" applyFill="1" applyBorder="1" applyAlignment="1">
      <alignment horizontal="justify" vertical="center" wrapText="1" readingOrder="1"/>
    </xf>
    <xf numFmtId="49" fontId="52" fillId="8" borderId="1" xfId="0" applyNumberFormat="1" applyFont="1" applyFill="1" applyBorder="1" applyAlignment="1">
      <alignment vertical="top" wrapText="1"/>
    </xf>
    <xf numFmtId="0" fontId="52" fillId="8" borderId="19" xfId="0" applyFont="1" applyFill="1" applyBorder="1" applyAlignment="1">
      <alignment horizontal="justify" vertical="center" readingOrder="1"/>
    </xf>
    <xf numFmtId="0" fontId="37" fillId="8" borderId="20" xfId="0" applyFont="1" applyFill="1" applyBorder="1" applyAlignment="1">
      <alignment horizontal="center" vertical="center" wrapText="1"/>
    </xf>
    <xf numFmtId="0" fontId="37" fillId="8" borderId="33" xfId="0" applyFont="1" applyFill="1" applyBorder="1" applyAlignment="1">
      <alignment horizontal="center" vertical="center" wrapText="1"/>
    </xf>
    <xf numFmtId="9" fontId="37" fillId="8" borderId="0" xfId="3" applyFont="1" applyFill="1" applyAlignment="1">
      <alignment horizontal="center" vertical="center" wrapText="1"/>
    </xf>
    <xf numFmtId="9" fontId="37" fillId="8" borderId="0" xfId="0" applyNumberFormat="1" applyFont="1" applyFill="1" applyAlignment="1">
      <alignment horizontal="center" vertical="center" wrapText="1"/>
    </xf>
    <xf numFmtId="0" fontId="21" fillId="19" borderId="30" xfId="0" applyFont="1" applyFill="1" applyBorder="1" applyAlignment="1">
      <alignment horizontal="left" vertical="center" wrapText="1"/>
    </xf>
    <xf numFmtId="0" fontId="61" fillId="19" borderId="49" xfId="0" applyFont="1" applyFill="1" applyBorder="1" applyAlignment="1">
      <alignment horizontal="left" vertical="center" wrapText="1"/>
    </xf>
    <xf numFmtId="9" fontId="47" fillId="19" borderId="50" xfId="3" applyFont="1" applyFill="1" applyBorder="1" applyAlignment="1">
      <alignment horizontal="center"/>
    </xf>
    <xf numFmtId="0" fontId="61" fillId="19" borderId="17" xfId="0" applyFont="1" applyFill="1" applyBorder="1" applyAlignment="1">
      <alignment horizontal="left" vertical="center" wrapText="1"/>
    </xf>
    <xf numFmtId="9" fontId="47" fillId="19" borderId="18" xfId="3" applyFont="1" applyFill="1" applyBorder="1" applyAlignment="1">
      <alignment horizontal="center"/>
    </xf>
    <xf numFmtId="9" fontId="47" fillId="19" borderId="18" xfId="3" applyFont="1" applyFill="1" applyBorder="1" applyAlignment="1">
      <alignment horizontal="center" vertical="center"/>
    </xf>
    <xf numFmtId="9" fontId="47" fillId="19" borderId="18" xfId="0" applyNumberFormat="1" applyFont="1" applyFill="1" applyBorder="1" applyAlignment="1">
      <alignment horizontal="center"/>
    </xf>
    <xf numFmtId="9" fontId="62" fillId="19" borderId="3" xfId="3" applyFont="1" applyFill="1" applyBorder="1" applyAlignment="1">
      <alignment horizontal="center" vertical="center" wrapText="1"/>
    </xf>
    <xf numFmtId="0" fontId="63" fillId="0" borderId="0" xfId="0" applyFont="1" applyAlignment="1">
      <alignment vertical="center" wrapText="1"/>
    </xf>
    <xf numFmtId="0" fontId="63" fillId="0" borderId="0" xfId="0" applyFont="1" applyAlignment="1">
      <alignment horizontal="center" vertical="center" wrapText="1"/>
    </xf>
    <xf numFmtId="0" fontId="63" fillId="0" borderId="29" xfId="0" applyFont="1" applyBorder="1" applyAlignment="1">
      <alignment vertical="center" wrapText="1"/>
    </xf>
    <xf numFmtId="0" fontId="47" fillId="0" borderId="0" xfId="0" applyFont="1" applyAlignment="1">
      <alignment vertical="center" wrapText="1"/>
    </xf>
    <xf numFmtId="0" fontId="38" fillId="9" borderId="1" xfId="0" applyFont="1" applyFill="1" applyBorder="1" applyAlignment="1">
      <alignment horizontal="center" vertical="center" wrapText="1"/>
    </xf>
    <xf numFmtId="0" fontId="36" fillId="20" borderId="1" xfId="0" applyFont="1" applyFill="1" applyBorder="1" applyAlignment="1">
      <alignment horizontal="center" vertical="center" wrapText="1"/>
    </xf>
    <xf numFmtId="0" fontId="36" fillId="20" borderId="1" xfId="0" applyFont="1" applyFill="1" applyBorder="1" applyAlignment="1">
      <alignment vertical="center"/>
    </xf>
    <xf numFmtId="0" fontId="36" fillId="0" borderId="13" xfId="0" applyFont="1" applyBorder="1" applyAlignment="1">
      <alignment vertical="center" wrapText="1"/>
    </xf>
    <xf numFmtId="0" fontId="59" fillId="0" borderId="1" xfId="0" applyFont="1" applyBorder="1" applyAlignment="1">
      <alignment horizontal="justify" vertical="top" wrapText="1"/>
    </xf>
    <xf numFmtId="0" fontId="13" fillId="0" borderId="20" xfId="0" applyFont="1" applyBorder="1" applyAlignment="1">
      <alignment vertical="center" wrapText="1"/>
    </xf>
    <xf numFmtId="0" fontId="1" fillId="0" borderId="22" xfId="2" applyFont="1" applyBorder="1" applyAlignment="1">
      <alignment horizontal="center" vertical="center" wrapText="1"/>
    </xf>
    <xf numFmtId="0" fontId="1" fillId="8" borderId="22" xfId="2" applyFont="1" applyFill="1" applyBorder="1" applyAlignment="1">
      <alignment horizontal="center" vertical="center" wrapText="1"/>
    </xf>
    <xf numFmtId="9" fontId="62" fillId="19" borderId="3" xfId="0" applyNumberFormat="1" applyFont="1" applyFill="1" applyBorder="1" applyAlignment="1">
      <alignment horizontal="center"/>
    </xf>
    <xf numFmtId="0" fontId="1" fillId="0" borderId="0" xfId="2" applyFont="1" applyAlignment="1">
      <alignment horizontal="center" vertical="center"/>
    </xf>
    <xf numFmtId="0" fontId="2" fillId="11" borderId="29" xfId="2" applyFont="1" applyFill="1" applyBorder="1" applyAlignment="1">
      <alignment horizontal="center" vertical="center" wrapText="1"/>
    </xf>
    <xf numFmtId="0" fontId="1" fillId="21" borderId="1" xfId="2" applyFont="1" applyFill="1" applyBorder="1" applyAlignment="1">
      <alignment horizontal="center" vertical="center" wrapText="1"/>
    </xf>
    <xf numFmtId="0" fontId="1" fillId="0" borderId="2" xfId="2" applyFont="1" applyBorder="1" applyAlignment="1">
      <alignment horizontal="center" vertical="center" wrapText="1"/>
    </xf>
    <xf numFmtId="0" fontId="1" fillId="21" borderId="2" xfId="2" applyFont="1" applyFill="1" applyBorder="1" applyAlignment="1">
      <alignment horizontal="center" vertical="center" wrapText="1"/>
    </xf>
    <xf numFmtId="0" fontId="1" fillId="8" borderId="2" xfId="2" applyFont="1" applyFill="1" applyBorder="1" applyAlignment="1">
      <alignment horizontal="center" vertical="center" wrapText="1"/>
    </xf>
    <xf numFmtId="0" fontId="2" fillId="11" borderId="2" xfId="2" applyFont="1" applyFill="1" applyBorder="1" applyAlignment="1">
      <alignment horizontal="center" vertical="center" wrapText="1"/>
    </xf>
    <xf numFmtId="0" fontId="1" fillId="0" borderId="26" xfId="2" applyFont="1" applyBorder="1" applyAlignment="1">
      <alignment horizontal="center" vertical="center" wrapText="1"/>
    </xf>
    <xf numFmtId="0" fontId="2" fillId="11" borderId="26" xfId="2" applyFont="1" applyFill="1" applyBorder="1" applyAlignment="1">
      <alignment horizontal="center" vertical="center" wrapText="1"/>
    </xf>
    <xf numFmtId="0" fontId="12" fillId="0" borderId="0" xfId="2" applyFont="1" applyAlignment="1">
      <alignment horizontal="center" vertical="center"/>
    </xf>
    <xf numFmtId="0" fontId="12" fillId="0" borderId="0" xfId="2" applyFont="1" applyAlignment="1">
      <alignment horizontal="center" vertical="center" wrapText="1"/>
    </xf>
    <xf numFmtId="0" fontId="31" fillId="8" borderId="22" xfId="1" applyFont="1" applyFill="1" applyBorder="1" applyAlignment="1">
      <alignment horizontal="center" vertical="center" wrapText="1"/>
    </xf>
    <xf numFmtId="0" fontId="44" fillId="8" borderId="22" xfId="1" applyFont="1" applyFill="1" applyBorder="1" applyAlignment="1">
      <alignment horizontal="center" vertical="center" wrapText="1"/>
    </xf>
    <xf numFmtId="0" fontId="2" fillId="0" borderId="1" xfId="2" applyFont="1" applyBorder="1" applyAlignment="1">
      <alignment horizontal="center" vertical="center" wrapText="1"/>
    </xf>
    <xf numFmtId="0" fontId="41" fillId="0" borderId="17" xfId="0" applyFont="1" applyBorder="1" applyAlignment="1">
      <alignment horizontal="center" vertical="center" wrapText="1"/>
    </xf>
    <xf numFmtId="0" fontId="41" fillId="0" borderId="1" xfId="0" applyFont="1" applyBorder="1" applyAlignment="1">
      <alignment horizontal="center" vertical="center" wrapText="1"/>
    </xf>
    <xf numFmtId="0" fontId="40" fillId="10" borderId="17" xfId="0" applyFont="1" applyFill="1" applyBorder="1" applyAlignment="1">
      <alignment horizontal="center" vertical="center" wrapText="1"/>
    </xf>
    <xf numFmtId="0" fontId="40" fillId="10" borderId="18" xfId="0" applyFont="1" applyFill="1" applyBorder="1" applyAlignment="1">
      <alignment horizontal="center" vertical="center" wrapText="1"/>
    </xf>
    <xf numFmtId="0" fontId="41" fillId="0" borderId="18" xfId="0" applyFont="1" applyBorder="1" applyAlignment="1">
      <alignment horizontal="center" vertical="center" wrapText="1"/>
    </xf>
    <xf numFmtId="0" fontId="41" fillId="0" borderId="1" xfId="0" applyFont="1" applyBorder="1" applyAlignment="1">
      <alignment horizontal="left" vertical="center" wrapText="1"/>
    </xf>
    <xf numFmtId="0" fontId="42" fillId="0" borderId="18" xfId="0" applyFont="1" applyBorder="1" applyAlignment="1">
      <alignment horizontal="center" vertical="center" wrapText="1"/>
    </xf>
    <xf numFmtId="0" fontId="46" fillId="14" borderId="1" xfId="0" applyFont="1" applyFill="1" applyBorder="1" applyAlignment="1">
      <alignment horizontal="center" vertical="center" wrapText="1"/>
    </xf>
    <xf numFmtId="0" fontId="49" fillId="9" borderId="51" xfId="0" applyFont="1" applyFill="1" applyBorder="1" applyAlignment="1">
      <alignment horizontal="center" vertical="center" wrapText="1"/>
    </xf>
    <xf numFmtId="0" fontId="45" fillId="9" borderId="1" xfId="0" applyFont="1" applyFill="1" applyBorder="1" applyAlignment="1">
      <alignment horizontal="center" vertical="center" wrapText="1"/>
    </xf>
    <xf numFmtId="0" fontId="38" fillId="9" borderId="2" xfId="0" applyFont="1" applyFill="1" applyBorder="1" applyAlignment="1">
      <alignment horizontal="center" vertical="center" wrapText="1"/>
    </xf>
    <xf numFmtId="0" fontId="36" fillId="8" borderId="1" xfId="0" applyFont="1" applyFill="1" applyBorder="1" applyAlignment="1">
      <alignment horizontal="center" vertical="center" wrapText="1"/>
    </xf>
    <xf numFmtId="9" fontId="37" fillId="18" borderId="1" xfId="3" applyFont="1" applyFill="1" applyBorder="1" applyAlignment="1">
      <alignment horizontal="center" vertical="center" wrapText="1"/>
    </xf>
    <xf numFmtId="0" fontId="45" fillId="14" borderId="1"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2" fillId="11" borderId="1" xfId="2" applyFont="1" applyFill="1" applyBorder="1" applyAlignment="1">
      <alignment horizontal="center" vertical="center" wrapText="1"/>
    </xf>
    <xf numFmtId="0" fontId="43" fillId="2" borderId="6" xfId="0" applyFont="1" applyFill="1" applyBorder="1" applyAlignment="1">
      <alignment horizontal="center" vertical="center" wrapText="1"/>
    </xf>
    <xf numFmtId="0" fontId="6" fillId="0" borderId="1" xfId="2" applyFont="1" applyBorder="1" applyAlignment="1">
      <alignment horizontal="center" vertical="center" wrapText="1"/>
    </xf>
    <xf numFmtId="0" fontId="74" fillId="0" borderId="1" xfId="2" applyFont="1" applyBorder="1" applyAlignment="1">
      <alignment horizontal="center" vertical="center" wrapText="1"/>
    </xf>
    <xf numFmtId="0" fontId="6" fillId="0" borderId="0" xfId="2" applyFont="1"/>
    <xf numFmtId="0" fontId="32" fillId="2" borderId="29" xfId="0" applyFont="1" applyFill="1" applyBorder="1" applyAlignment="1">
      <alignment horizontal="center" vertical="center" wrapText="1"/>
    </xf>
    <xf numFmtId="0" fontId="6" fillId="0" borderId="0" xfId="2" applyFont="1" applyAlignment="1">
      <alignment horizontal="center" vertical="center" wrapText="1"/>
    </xf>
    <xf numFmtId="0" fontId="6" fillId="0" borderId="22" xfId="2" applyFont="1" applyBorder="1" applyAlignment="1">
      <alignment horizontal="center" vertical="center" wrapText="1"/>
    </xf>
    <xf numFmtId="0" fontId="6" fillId="0" borderId="1" xfId="2" applyFont="1" applyBorder="1"/>
    <xf numFmtId="0" fontId="6" fillId="0" borderId="2" xfId="2" applyFont="1" applyBorder="1"/>
    <xf numFmtId="0" fontId="6" fillId="8" borderId="1" xfId="2" applyFont="1" applyFill="1" applyBorder="1" applyAlignment="1">
      <alignment horizontal="center" vertical="center" wrapText="1"/>
    </xf>
    <xf numFmtId="0" fontId="31" fillId="0" borderId="1" xfId="0" applyFont="1" applyBorder="1" applyAlignment="1">
      <alignment horizontal="center" vertical="center" wrapText="1"/>
    </xf>
    <xf numFmtId="0" fontId="31" fillId="8" borderId="22" xfId="0" applyFont="1" applyFill="1" applyBorder="1" applyAlignment="1">
      <alignment horizontal="center" vertical="center" wrapText="1"/>
    </xf>
    <xf numFmtId="0" fontId="6" fillId="0" borderId="2" xfId="2" applyFont="1" applyBorder="1" applyAlignment="1">
      <alignment horizontal="center"/>
    </xf>
    <xf numFmtId="0" fontId="31" fillId="8" borderId="1" xfId="0" applyFont="1" applyFill="1" applyBorder="1" applyAlignment="1">
      <alignment horizontal="center" vertical="center" wrapText="1"/>
    </xf>
    <xf numFmtId="0" fontId="6" fillId="8" borderId="22" xfId="2" applyFont="1" applyFill="1" applyBorder="1" applyAlignment="1">
      <alignment horizontal="center" vertical="center" wrapText="1"/>
    </xf>
    <xf numFmtId="0" fontId="76" fillId="8" borderId="0" xfId="2" applyFont="1" applyFill="1" applyAlignment="1">
      <alignment horizontal="center" vertical="center" wrapText="1"/>
    </xf>
    <xf numFmtId="0" fontId="76" fillId="8" borderId="1" xfId="2" applyFont="1" applyFill="1" applyBorder="1" applyAlignment="1">
      <alignment horizontal="center" vertical="center" wrapText="1"/>
    </xf>
    <xf numFmtId="0" fontId="2" fillId="11" borderId="2" xfId="2" applyFont="1" applyFill="1" applyBorder="1" applyAlignment="1">
      <alignment horizontal="center" vertical="center"/>
    </xf>
    <xf numFmtId="0" fontId="1" fillId="11" borderId="22" xfId="2" applyFont="1" applyFill="1" applyBorder="1" applyAlignment="1">
      <alignment horizontal="center" vertical="center" wrapText="1"/>
    </xf>
    <xf numFmtId="0" fontId="73" fillId="8" borderId="22" xfId="1" applyFont="1" applyFill="1" applyBorder="1" applyAlignment="1">
      <alignment horizontal="center" vertical="center" wrapText="1"/>
    </xf>
    <xf numFmtId="0" fontId="33" fillId="8" borderId="22" xfId="1" applyFill="1" applyBorder="1" applyAlignment="1">
      <alignment horizontal="center" vertical="center" wrapText="1"/>
    </xf>
    <xf numFmtId="0" fontId="44" fillId="8" borderId="1" xfId="1" applyFont="1" applyFill="1" applyBorder="1" applyAlignment="1">
      <alignment horizontal="center" vertical="center" wrapText="1"/>
    </xf>
    <xf numFmtId="0" fontId="73" fillId="8" borderId="22" xfId="0" applyFont="1" applyFill="1" applyBorder="1" applyAlignment="1">
      <alignment horizontal="center" vertical="center" wrapText="1"/>
    </xf>
    <xf numFmtId="0" fontId="76" fillId="8" borderId="22" xfId="2" applyFont="1" applyFill="1" applyBorder="1" applyAlignment="1">
      <alignment horizontal="center" vertical="center" wrapText="1"/>
    </xf>
    <xf numFmtId="0" fontId="33" fillId="8" borderId="1" xfId="1" applyFill="1" applyBorder="1" applyAlignment="1">
      <alignment horizontal="center" vertical="center" wrapText="1"/>
    </xf>
    <xf numFmtId="0" fontId="73" fillId="8" borderId="1" xfId="0" applyFont="1" applyFill="1" applyBorder="1" applyAlignment="1">
      <alignment horizontal="center" vertical="center" wrapText="1"/>
    </xf>
    <xf numFmtId="0" fontId="6" fillId="0" borderId="2" xfId="2" applyFont="1" applyBorder="1" applyAlignment="1">
      <alignment vertical="center" wrapText="1"/>
    </xf>
    <xf numFmtId="0" fontId="6" fillId="0" borderId="36" xfId="2" applyFont="1" applyBorder="1" applyAlignment="1">
      <alignment vertical="center" wrapText="1"/>
    </xf>
    <xf numFmtId="0" fontId="6" fillId="0" borderId="13" xfId="2" applyFont="1" applyBorder="1" applyAlignment="1">
      <alignment vertical="center" wrapText="1"/>
    </xf>
    <xf numFmtId="0" fontId="77" fillId="26" borderId="1" xfId="0" applyFont="1" applyFill="1" applyBorder="1" applyAlignment="1">
      <alignment horizontal="center" vertical="center" wrapText="1"/>
    </xf>
    <xf numFmtId="9" fontId="77" fillId="26" borderId="1" xfId="3" applyFont="1" applyFill="1" applyBorder="1" applyAlignment="1">
      <alignment horizontal="center" vertical="center" wrapText="1"/>
    </xf>
    <xf numFmtId="0" fontId="40" fillId="10" borderId="53" xfId="0" applyFont="1" applyFill="1" applyBorder="1" applyAlignment="1">
      <alignment horizontal="center" vertical="center" wrapText="1"/>
    </xf>
    <xf numFmtId="0" fontId="40" fillId="10" borderId="52" xfId="0" applyFont="1" applyFill="1" applyBorder="1" applyAlignment="1">
      <alignment horizontal="center" vertical="center" wrapText="1"/>
    </xf>
    <xf numFmtId="0" fontId="41" fillId="0" borderId="17" xfId="0" applyFont="1" applyBorder="1" applyAlignment="1">
      <alignment horizontal="center" vertical="center" wrapText="1"/>
    </xf>
    <xf numFmtId="0" fontId="41" fillId="0" borderId="1" xfId="0" applyFont="1" applyBorder="1" applyAlignment="1">
      <alignment horizontal="center" vertical="center" wrapText="1"/>
    </xf>
    <xf numFmtId="0" fontId="40" fillId="10" borderId="17" xfId="0" applyFont="1" applyFill="1" applyBorder="1" applyAlignment="1">
      <alignment horizontal="center" vertical="center" wrapText="1"/>
    </xf>
    <xf numFmtId="0" fontId="40" fillId="10" borderId="54" xfId="0" applyFont="1" applyFill="1" applyBorder="1" applyAlignment="1">
      <alignment horizontal="center" vertical="center" wrapText="1"/>
    </xf>
    <xf numFmtId="0" fontId="40" fillId="10" borderId="1" xfId="0" applyFont="1" applyFill="1" applyBorder="1" applyAlignment="1">
      <alignment horizontal="center" vertical="center" wrapText="1"/>
    </xf>
    <xf numFmtId="0" fontId="40" fillId="10" borderId="18" xfId="0" applyFont="1" applyFill="1" applyBorder="1" applyAlignment="1">
      <alignment horizontal="center" vertical="center" wrapText="1"/>
    </xf>
    <xf numFmtId="0" fontId="41" fillId="0" borderId="18" xfId="0" applyFont="1" applyBorder="1" applyAlignment="1">
      <alignment horizontal="center" vertical="center" wrapText="1"/>
    </xf>
    <xf numFmtId="0" fontId="41" fillId="0" borderId="1" xfId="0" applyFont="1" applyBorder="1" applyAlignment="1">
      <alignment horizontal="left" vertical="center" wrapText="1"/>
    </xf>
    <xf numFmtId="0" fontId="64" fillId="0" borderId="0" xfId="0" applyFont="1" applyAlignment="1">
      <alignment horizontal="left" vertical="center" wrapText="1"/>
    </xf>
    <xf numFmtId="0" fontId="42" fillId="0" borderId="17" xfId="0" applyFont="1" applyBorder="1" applyAlignment="1">
      <alignment horizontal="center" vertical="center" wrapText="1"/>
    </xf>
    <xf numFmtId="0" fontId="42" fillId="0" borderId="1" xfId="0" applyFont="1" applyBorder="1" applyAlignment="1">
      <alignment horizontal="center" vertical="center" wrapText="1"/>
    </xf>
    <xf numFmtId="0" fontId="48" fillId="0" borderId="0" xfId="0" applyFont="1" applyAlignment="1">
      <alignment horizontal="center"/>
    </xf>
    <xf numFmtId="0" fontId="42" fillId="0" borderId="18" xfId="0" applyFont="1" applyBorder="1" applyAlignment="1">
      <alignment horizontal="center" vertical="center" wrapText="1"/>
    </xf>
    <xf numFmtId="0" fontId="64" fillId="0" borderId="0" xfId="0" applyFont="1" applyAlignment="1">
      <alignment horizontal="left" vertical="top" wrapText="1"/>
    </xf>
    <xf numFmtId="0" fontId="0" fillId="8" borderId="46" xfId="0" applyFill="1" applyBorder="1" applyAlignment="1">
      <alignment horizontal="justify" vertical="center" wrapText="1"/>
    </xf>
    <xf numFmtId="0" fontId="0" fillId="8" borderId="15" xfId="0" applyFill="1" applyBorder="1" applyAlignment="1">
      <alignment horizontal="justify" vertical="center"/>
    </xf>
    <xf numFmtId="0" fontId="0" fillId="8" borderId="55" xfId="0" applyFill="1" applyBorder="1" applyAlignment="1">
      <alignment horizontal="justify" vertical="center"/>
    </xf>
    <xf numFmtId="0" fontId="0" fillId="8" borderId="38" xfId="0" applyFill="1" applyBorder="1" applyAlignment="1">
      <alignment horizontal="justify" vertical="center"/>
    </xf>
    <xf numFmtId="0" fontId="0" fillId="8" borderId="0" xfId="0" applyFill="1" applyAlignment="1">
      <alignment horizontal="justify" vertical="center"/>
    </xf>
    <xf numFmtId="0" fontId="0" fillId="8" borderId="31" xfId="0" applyFill="1" applyBorder="1" applyAlignment="1">
      <alignment horizontal="justify" vertical="center"/>
    </xf>
    <xf numFmtId="0" fontId="0" fillId="8" borderId="41" xfId="0" applyFill="1" applyBorder="1" applyAlignment="1">
      <alignment horizontal="justify" vertical="center"/>
    </xf>
    <xf numFmtId="0" fontId="0" fillId="8" borderId="42" xfId="0" applyFill="1" applyBorder="1" applyAlignment="1">
      <alignment horizontal="justify" vertical="center"/>
    </xf>
    <xf numFmtId="0" fontId="0" fillId="8" borderId="43" xfId="0" applyFill="1" applyBorder="1" applyAlignment="1">
      <alignment horizontal="justify" vertical="center"/>
    </xf>
    <xf numFmtId="0" fontId="65" fillId="8" borderId="0" xfId="0" applyFont="1" applyFill="1" applyAlignment="1">
      <alignment horizontal="center"/>
    </xf>
    <xf numFmtId="9" fontId="48" fillId="18" borderId="60" xfId="3" applyFont="1" applyFill="1" applyBorder="1" applyAlignment="1">
      <alignment horizontal="center" vertical="center" wrapText="1"/>
    </xf>
    <xf numFmtId="9" fontId="48" fillId="18" borderId="61" xfId="3" applyFont="1" applyFill="1" applyBorder="1" applyAlignment="1">
      <alignment horizontal="center" vertical="center" wrapText="1"/>
    </xf>
    <xf numFmtId="9" fontId="48" fillId="22" borderId="46" xfId="3" applyFont="1" applyFill="1" applyBorder="1" applyAlignment="1">
      <alignment horizontal="center" vertical="center" wrapText="1"/>
    </xf>
    <xf numFmtId="9" fontId="48" fillId="22" borderId="15" xfId="3" applyFont="1" applyFill="1" applyBorder="1" applyAlignment="1">
      <alignment horizontal="center" vertical="center" wrapText="1"/>
    </xf>
    <xf numFmtId="9" fontId="48" fillId="22" borderId="44" xfId="3" applyFont="1" applyFill="1" applyBorder="1" applyAlignment="1">
      <alignment horizontal="center" vertical="center" wrapText="1"/>
    </xf>
    <xf numFmtId="9" fontId="48" fillId="22" borderId="59" xfId="3" applyFont="1" applyFill="1" applyBorder="1" applyAlignment="1">
      <alignment horizontal="center" vertical="center" wrapText="1"/>
    </xf>
    <xf numFmtId="0" fontId="46" fillId="0" borderId="1" xfId="0" applyFont="1" applyBorder="1" applyAlignment="1">
      <alignment horizontal="center" vertical="center" wrapText="1"/>
    </xf>
    <xf numFmtId="0" fontId="46" fillId="0" borderId="56" xfId="0" applyFont="1" applyBorder="1" applyAlignment="1">
      <alignment horizontal="center" vertical="center" wrapText="1"/>
    </xf>
    <xf numFmtId="0" fontId="46" fillId="0" borderId="62" xfId="0" applyFont="1" applyBorder="1" applyAlignment="1">
      <alignment horizontal="center" vertical="center" wrapText="1"/>
    </xf>
    <xf numFmtId="0" fontId="46" fillId="14" borderId="2" xfId="0" applyFont="1" applyFill="1" applyBorder="1" applyAlignment="1">
      <alignment horizontal="center" vertical="center" wrapText="1"/>
    </xf>
    <xf numFmtId="0" fontId="46" fillId="14" borderId="13" xfId="0" applyFont="1" applyFill="1" applyBorder="1" applyAlignment="1">
      <alignment horizontal="center" vertical="center" wrapText="1"/>
    </xf>
    <xf numFmtId="0" fontId="46" fillId="14" borderId="1" xfId="0" applyFont="1" applyFill="1" applyBorder="1" applyAlignment="1">
      <alignment horizontal="center" vertical="center" wrapText="1"/>
    </xf>
    <xf numFmtId="0" fontId="46" fillId="0" borderId="28" xfId="0" applyFont="1" applyBorder="1" applyAlignment="1">
      <alignment horizontal="center" vertical="center" wrapText="1"/>
    </xf>
    <xf numFmtId="0" fontId="46" fillId="0" borderId="50" xfId="0" applyFont="1" applyBorder="1" applyAlignment="1">
      <alignment horizontal="center" vertical="center" wrapText="1"/>
    </xf>
    <xf numFmtId="0" fontId="66" fillId="13" borderId="46" xfId="0" applyFont="1" applyFill="1" applyBorder="1" applyAlignment="1">
      <alignment horizontal="center" vertical="center" wrapText="1"/>
    </xf>
    <xf numFmtId="0" fontId="66" fillId="13" borderId="15" xfId="0" applyFont="1" applyFill="1" applyBorder="1" applyAlignment="1">
      <alignment horizontal="center" vertical="center" wrapText="1"/>
    </xf>
    <xf numFmtId="0" fontId="66" fillId="13" borderId="55" xfId="0" applyFont="1" applyFill="1" applyBorder="1" applyAlignment="1">
      <alignment horizontal="center" vertical="center" wrapText="1"/>
    </xf>
    <xf numFmtId="0" fontId="49" fillId="9" borderId="51" xfId="0" applyFont="1" applyFill="1" applyBorder="1" applyAlignment="1">
      <alignment horizontal="center" vertical="center" wrapText="1"/>
    </xf>
    <xf numFmtId="0" fontId="49" fillId="9" borderId="9" xfId="0" applyFont="1" applyFill="1" applyBorder="1" applyAlignment="1">
      <alignment horizontal="center" vertical="center" wrapText="1"/>
    </xf>
    <xf numFmtId="0" fontId="46" fillId="0" borderId="57" xfId="0" applyFont="1" applyBorder="1" applyAlignment="1">
      <alignment horizontal="center" vertical="center" wrapText="1"/>
    </xf>
    <xf numFmtId="0" fontId="46" fillId="0" borderId="58" xfId="0" applyFont="1" applyBorder="1" applyAlignment="1">
      <alignment horizontal="center" vertical="center" wrapText="1"/>
    </xf>
    <xf numFmtId="0" fontId="67" fillId="13" borderId="46" xfId="0" applyFont="1" applyFill="1" applyBorder="1" applyAlignment="1">
      <alignment horizontal="center" vertical="center" wrapText="1"/>
    </xf>
    <xf numFmtId="0" fontId="67" fillId="13" borderId="15" xfId="0" applyFont="1" applyFill="1" applyBorder="1" applyAlignment="1">
      <alignment horizontal="center" vertical="center" wrapText="1"/>
    </xf>
    <xf numFmtId="0" fontId="67" fillId="13" borderId="55" xfId="0" applyFont="1" applyFill="1" applyBorder="1" applyAlignment="1">
      <alignment horizontal="center" vertical="center" wrapText="1"/>
    </xf>
    <xf numFmtId="0" fontId="36" fillId="0" borderId="56" xfId="0" applyFont="1" applyBorder="1" applyAlignment="1">
      <alignment horizontal="center" vertical="center" wrapText="1"/>
    </xf>
    <xf numFmtId="0" fontId="36" fillId="0" borderId="28" xfId="0" applyFont="1" applyBorder="1" applyAlignment="1">
      <alignment horizontal="center" vertical="center" wrapText="1"/>
    </xf>
    <xf numFmtId="0" fontId="36" fillId="0" borderId="50" xfId="0" applyFont="1" applyBorder="1" applyAlignment="1">
      <alignment horizontal="center" vertical="center" wrapText="1"/>
    </xf>
    <xf numFmtId="0" fontId="45" fillId="0" borderId="46" xfId="0" applyFont="1" applyBorder="1" applyAlignment="1">
      <alignment vertical="center" wrapText="1"/>
    </xf>
    <xf numFmtId="0" fontId="36" fillId="0" borderId="44" xfId="0" applyFont="1" applyBorder="1" applyAlignment="1">
      <alignment vertical="center" wrapText="1"/>
    </xf>
    <xf numFmtId="0" fontId="36" fillId="0" borderId="2" xfId="0" applyFont="1" applyBorder="1" applyAlignment="1">
      <alignment horizontal="center" vertical="center" wrapText="1"/>
    </xf>
    <xf numFmtId="0" fontId="36" fillId="0" borderId="36" xfId="0" applyFont="1" applyBorder="1" applyAlignment="1">
      <alignment horizontal="center" vertical="center" wrapText="1"/>
    </xf>
    <xf numFmtId="0" fontId="36" fillId="0" borderId="13" xfId="0" applyFont="1" applyBorder="1" applyAlignment="1">
      <alignment horizontal="center" vertical="center" wrapText="1"/>
    </xf>
    <xf numFmtId="49" fontId="51" fillId="8" borderId="1" xfId="0" applyNumberFormat="1" applyFont="1" applyFill="1" applyBorder="1" applyAlignment="1">
      <alignment horizontal="center" vertical="center" wrapText="1"/>
    </xf>
    <xf numFmtId="0" fontId="45" fillId="9" borderId="1" xfId="0" applyFont="1" applyFill="1" applyBorder="1" applyAlignment="1">
      <alignment horizontal="center" vertical="center" wrapText="1"/>
    </xf>
    <xf numFmtId="9" fontId="37" fillId="23" borderId="26" xfId="3" applyFont="1" applyFill="1" applyBorder="1" applyAlignment="1">
      <alignment horizontal="center" vertical="center" wrapText="1"/>
    </xf>
    <xf numFmtId="9" fontId="37" fillId="23" borderId="63" xfId="3" applyFont="1" applyFill="1" applyBorder="1" applyAlignment="1">
      <alignment horizontal="center" vertical="center" wrapText="1"/>
    </xf>
    <xf numFmtId="9" fontId="37" fillId="23" borderId="25" xfId="3" applyFont="1" applyFill="1" applyBorder="1" applyAlignment="1">
      <alignment horizontal="center" vertical="center" wrapText="1"/>
    </xf>
    <xf numFmtId="49" fontId="51" fillId="8" borderId="22" xfId="0" applyNumberFormat="1" applyFont="1" applyFill="1" applyBorder="1" applyAlignment="1">
      <alignment horizontal="center" vertical="center" wrapText="1"/>
    </xf>
    <xf numFmtId="0" fontId="36" fillId="14" borderId="2" xfId="0" applyFont="1" applyFill="1" applyBorder="1" applyAlignment="1">
      <alignment horizontal="center" vertical="center" wrapText="1"/>
    </xf>
    <xf numFmtId="0" fontId="36" fillId="14" borderId="36" xfId="0" applyFont="1" applyFill="1" applyBorder="1" applyAlignment="1">
      <alignment horizontal="center" vertical="center" wrapText="1"/>
    </xf>
    <xf numFmtId="0" fontId="36" fillId="14" borderId="13" xfId="0" applyFont="1" applyFill="1" applyBorder="1" applyAlignment="1">
      <alignment horizontal="center" vertical="center" wrapText="1"/>
    </xf>
    <xf numFmtId="9" fontId="37" fillId="22" borderId="1" xfId="3" applyFont="1" applyFill="1" applyBorder="1" applyAlignment="1">
      <alignment horizontal="center" vertical="center" wrapText="1"/>
    </xf>
    <xf numFmtId="0" fontId="36" fillId="0" borderId="1" xfId="0" applyFont="1" applyBorder="1" applyAlignment="1">
      <alignment horizontal="center" vertical="center" wrapText="1"/>
    </xf>
    <xf numFmtId="9" fontId="37" fillId="22" borderId="26" xfId="3" applyFont="1" applyFill="1" applyBorder="1" applyAlignment="1">
      <alignment horizontal="center" vertical="center" wrapText="1"/>
    </xf>
    <xf numFmtId="9" fontId="37" fillId="22" borderId="63" xfId="3" applyFont="1" applyFill="1" applyBorder="1" applyAlignment="1">
      <alignment horizontal="center" vertical="center" wrapText="1"/>
    </xf>
    <xf numFmtId="9" fontId="37" fillId="22" borderId="25" xfId="3" applyFont="1" applyFill="1" applyBorder="1" applyAlignment="1">
      <alignment horizontal="center" vertical="center" wrapText="1"/>
    </xf>
    <xf numFmtId="9" fontId="37" fillId="22" borderId="64" xfId="3" applyFont="1" applyFill="1" applyBorder="1" applyAlignment="1">
      <alignment horizontal="center" vertical="center" wrapText="1"/>
    </xf>
    <xf numFmtId="9" fontId="37" fillId="22" borderId="59" xfId="3" applyFont="1" applyFill="1" applyBorder="1" applyAlignment="1">
      <alignment horizontal="center" vertical="center" wrapText="1"/>
    </xf>
    <xf numFmtId="9" fontId="37" fillId="22" borderId="65" xfId="3" applyFont="1" applyFill="1" applyBorder="1" applyAlignment="1">
      <alignment horizontal="center" vertical="center" wrapText="1"/>
    </xf>
    <xf numFmtId="0" fontId="45" fillId="9" borderId="2" xfId="0" applyFont="1" applyFill="1" applyBorder="1" applyAlignment="1">
      <alignment horizontal="center" vertical="center" wrapText="1"/>
    </xf>
    <xf numFmtId="0" fontId="45" fillId="9" borderId="13" xfId="0" applyFont="1" applyFill="1" applyBorder="1" applyAlignment="1">
      <alignment horizontal="center" vertical="center" wrapText="1"/>
    </xf>
    <xf numFmtId="0" fontId="0" fillId="0" borderId="56" xfId="0" applyBorder="1" applyAlignment="1">
      <alignment horizontal="center" vertical="center" wrapText="1"/>
    </xf>
    <xf numFmtId="0" fontId="0" fillId="0" borderId="50" xfId="0" applyBorder="1" applyAlignment="1">
      <alignment horizontal="center" vertical="center" wrapText="1"/>
    </xf>
    <xf numFmtId="0" fontId="38" fillId="9" borderId="2" xfId="0" applyFont="1" applyFill="1" applyBorder="1" applyAlignment="1">
      <alignment horizontal="center" vertical="center" wrapText="1"/>
    </xf>
    <xf numFmtId="0" fontId="38" fillId="9" borderId="13" xfId="0" applyFont="1" applyFill="1" applyBorder="1" applyAlignment="1">
      <alignment horizontal="center" vertical="center" wrapText="1"/>
    </xf>
    <xf numFmtId="0" fontId="68" fillId="13" borderId="46" xfId="0" applyFont="1" applyFill="1" applyBorder="1" applyAlignment="1">
      <alignment horizontal="center" vertical="center" wrapText="1"/>
    </xf>
    <xf numFmtId="0" fontId="68" fillId="13" borderId="15" xfId="0" applyFont="1" applyFill="1" applyBorder="1" applyAlignment="1">
      <alignment horizontal="center" vertical="center" wrapText="1"/>
    </xf>
    <xf numFmtId="0" fontId="68" fillId="13" borderId="55" xfId="0" applyFont="1" applyFill="1" applyBorder="1" applyAlignment="1">
      <alignment horizontal="center" vertical="center" wrapText="1"/>
    </xf>
    <xf numFmtId="0" fontId="0" fillId="0" borderId="6" xfId="0" applyBorder="1" applyAlignment="1">
      <alignment horizontal="center" vertical="center" wrapText="1"/>
    </xf>
    <xf numFmtId="0" fontId="0" fillId="0" borderId="28" xfId="0" applyBorder="1" applyAlignment="1">
      <alignment horizontal="center" vertical="center" wrapText="1"/>
    </xf>
    <xf numFmtId="9" fontId="34" fillId="23" borderId="26" xfId="3" applyFont="1" applyFill="1" applyBorder="1" applyAlignment="1">
      <alignment horizontal="center" vertical="center" wrapText="1"/>
    </xf>
    <xf numFmtId="9" fontId="34" fillId="23" borderId="63" xfId="3" applyFont="1" applyFill="1" applyBorder="1" applyAlignment="1">
      <alignment horizontal="center" vertical="center" wrapText="1"/>
    </xf>
    <xf numFmtId="9" fontId="34" fillId="23" borderId="25" xfId="3" applyFont="1" applyFill="1" applyBorder="1" applyAlignment="1">
      <alignment horizontal="center" vertical="center" wrapText="1"/>
    </xf>
    <xf numFmtId="9" fontId="34" fillId="15" borderId="26" xfId="3" applyFont="1" applyFill="1" applyBorder="1" applyAlignment="1">
      <alignment horizontal="center" vertical="center" wrapText="1"/>
    </xf>
    <xf numFmtId="9" fontId="34" fillId="15" borderId="63" xfId="3" applyFont="1" applyFill="1" applyBorder="1" applyAlignment="1">
      <alignment horizontal="center" vertical="center" wrapText="1"/>
    </xf>
    <xf numFmtId="9" fontId="34" fillId="15" borderId="25" xfId="3" applyFont="1" applyFill="1" applyBorder="1" applyAlignment="1">
      <alignment horizontal="center" vertical="center" wrapText="1"/>
    </xf>
    <xf numFmtId="9" fontId="34" fillId="22" borderId="26" xfId="3" applyFont="1" applyFill="1" applyBorder="1" applyAlignment="1">
      <alignment horizontal="center" vertical="center" wrapText="1"/>
    </xf>
    <xf numFmtId="9" fontId="34" fillId="22" borderId="63" xfId="3" applyFont="1" applyFill="1" applyBorder="1" applyAlignment="1">
      <alignment horizontal="center" vertical="center" wrapText="1"/>
    </xf>
    <xf numFmtId="9" fontId="34" fillId="22" borderId="25" xfId="3" applyFont="1" applyFill="1" applyBorder="1" applyAlignment="1">
      <alignment horizontal="center" vertical="center" wrapText="1"/>
    </xf>
    <xf numFmtId="0" fontId="0" fillId="14" borderId="2" xfId="0" applyFill="1" applyBorder="1" applyAlignment="1">
      <alignment horizontal="center" vertical="center" wrapText="1"/>
    </xf>
    <xf numFmtId="0" fontId="0" fillId="14" borderId="13" xfId="0" applyFill="1" applyBorder="1" applyAlignment="1">
      <alignment horizontal="center" vertical="center" wrapText="1"/>
    </xf>
    <xf numFmtId="9" fontId="34" fillId="24" borderId="26" xfId="3" applyFont="1" applyFill="1" applyBorder="1" applyAlignment="1">
      <alignment horizontal="center" vertical="center" wrapText="1"/>
    </xf>
    <xf numFmtId="9" fontId="34" fillId="24" borderId="63" xfId="3" applyFont="1" applyFill="1" applyBorder="1" applyAlignment="1">
      <alignment horizontal="center" vertical="center" wrapText="1"/>
    </xf>
    <xf numFmtId="9" fontId="34" fillId="24" borderId="25" xfId="3" applyFont="1" applyFill="1" applyBorder="1" applyAlignment="1">
      <alignment horizontal="center" vertical="center" wrapText="1"/>
    </xf>
    <xf numFmtId="9" fontId="34" fillId="24" borderId="64" xfId="3" applyFont="1" applyFill="1" applyBorder="1" applyAlignment="1">
      <alignment horizontal="center" vertical="center" wrapText="1"/>
    </xf>
    <xf numFmtId="9" fontId="34" fillId="24" borderId="59" xfId="3" applyFont="1" applyFill="1" applyBorder="1" applyAlignment="1">
      <alignment horizontal="center" vertical="center" wrapText="1"/>
    </xf>
    <xf numFmtId="9" fontId="34" fillId="24" borderId="65" xfId="3" applyFont="1" applyFill="1" applyBorder="1" applyAlignment="1">
      <alignment horizontal="center" vertical="center" wrapText="1"/>
    </xf>
    <xf numFmtId="9" fontId="34" fillId="22" borderId="64" xfId="3" applyFont="1" applyFill="1" applyBorder="1" applyAlignment="1">
      <alignment horizontal="center" vertical="center" wrapText="1"/>
    </xf>
    <xf numFmtId="9" fontId="34" fillId="22" borderId="59" xfId="3" applyFont="1" applyFill="1" applyBorder="1" applyAlignment="1">
      <alignment horizontal="center" vertical="center" wrapText="1"/>
    </xf>
    <xf numFmtId="9" fontId="34" fillId="22" borderId="65" xfId="3" applyFont="1" applyFill="1" applyBorder="1" applyAlignment="1">
      <alignment horizontal="center" vertical="center" wrapText="1"/>
    </xf>
    <xf numFmtId="9" fontId="34" fillId="15" borderId="64" xfId="3" applyFont="1" applyFill="1" applyBorder="1" applyAlignment="1">
      <alignment horizontal="center" vertical="center" wrapText="1"/>
    </xf>
    <xf numFmtId="9" fontId="34" fillId="15" borderId="59" xfId="3" applyFont="1" applyFill="1" applyBorder="1" applyAlignment="1">
      <alignment horizontal="center" vertical="center" wrapText="1"/>
    </xf>
    <xf numFmtId="9" fontId="34" fillId="15" borderId="65" xfId="3" applyFont="1" applyFill="1" applyBorder="1" applyAlignment="1">
      <alignment horizontal="center" vertical="center" wrapText="1"/>
    </xf>
    <xf numFmtId="0" fontId="38" fillId="12" borderId="2" xfId="0" applyFont="1" applyFill="1" applyBorder="1" applyAlignment="1">
      <alignment horizontal="center" vertical="center" wrapText="1"/>
    </xf>
    <xf numFmtId="0" fontId="38" fillId="12" borderId="13" xfId="0" applyFont="1" applyFill="1" applyBorder="1" applyAlignment="1">
      <alignment horizontal="center" vertical="center" wrapText="1"/>
    </xf>
    <xf numFmtId="0" fontId="0" fillId="12" borderId="26" xfId="0" applyFill="1" applyBorder="1" applyAlignment="1">
      <alignment horizontal="center" vertical="center" wrapText="1"/>
    </xf>
    <xf numFmtId="0" fontId="0" fillId="12" borderId="63" xfId="0" applyFill="1" applyBorder="1" applyAlignment="1">
      <alignment horizontal="center" vertical="center" wrapText="1"/>
    </xf>
    <xf numFmtId="0" fontId="0" fillId="12" borderId="25" xfId="0" applyFill="1" applyBorder="1" applyAlignment="1">
      <alignment horizontal="center" vertical="center" wrapText="1"/>
    </xf>
    <xf numFmtId="0" fontId="0" fillId="12" borderId="64" xfId="0" applyFill="1" applyBorder="1" applyAlignment="1">
      <alignment horizontal="center" vertical="center" wrapText="1"/>
    </xf>
    <xf numFmtId="0" fontId="0" fillId="12" borderId="59" xfId="0" applyFill="1" applyBorder="1" applyAlignment="1">
      <alignment horizontal="center" vertical="center" wrapText="1"/>
    </xf>
    <xf numFmtId="0" fontId="0" fillId="12" borderId="65" xfId="0" applyFill="1" applyBorder="1" applyAlignment="1">
      <alignment horizontal="center" vertical="center" wrapText="1"/>
    </xf>
    <xf numFmtId="0" fontId="36" fillId="8" borderId="1" xfId="0" applyFont="1" applyFill="1" applyBorder="1" applyAlignment="1">
      <alignment horizontal="center" vertical="center" wrapText="1"/>
    </xf>
    <xf numFmtId="0" fontId="36" fillId="25" borderId="1" xfId="0" applyFont="1" applyFill="1" applyBorder="1" applyAlignment="1">
      <alignment horizontal="center" vertical="center" wrapText="1"/>
    </xf>
    <xf numFmtId="0" fontId="36" fillId="25" borderId="2" xfId="0" applyFont="1" applyFill="1" applyBorder="1" applyAlignment="1">
      <alignment horizontal="center" vertical="center" wrapText="1"/>
    </xf>
    <xf numFmtId="0" fontId="36" fillId="25" borderId="13" xfId="0" applyFont="1" applyFill="1" applyBorder="1" applyAlignment="1">
      <alignment horizontal="center" vertical="center" wrapText="1"/>
    </xf>
    <xf numFmtId="49" fontId="69" fillId="8" borderId="1" xfId="0" applyNumberFormat="1" applyFont="1" applyFill="1" applyBorder="1" applyAlignment="1">
      <alignment horizontal="center" vertical="center" wrapText="1"/>
    </xf>
    <xf numFmtId="0" fontId="51" fillId="8" borderId="1" xfId="0" applyFont="1" applyFill="1" applyBorder="1" applyAlignment="1">
      <alignment horizontal="center" vertical="center" wrapText="1"/>
    </xf>
    <xf numFmtId="0" fontId="36" fillId="8" borderId="2" xfId="0" applyFont="1" applyFill="1" applyBorder="1" applyAlignment="1">
      <alignment horizontal="center" vertical="center" wrapText="1"/>
    </xf>
    <xf numFmtId="0" fontId="36" fillId="8" borderId="36" xfId="0" applyFont="1" applyFill="1" applyBorder="1" applyAlignment="1">
      <alignment horizontal="center" vertical="center" wrapText="1"/>
    </xf>
    <xf numFmtId="0" fontId="36" fillId="8" borderId="13" xfId="0" applyFont="1" applyFill="1" applyBorder="1" applyAlignment="1">
      <alignment horizontal="center" vertical="center" wrapText="1"/>
    </xf>
    <xf numFmtId="0" fontId="70" fillId="13" borderId="38" xfId="0" applyFont="1" applyFill="1" applyBorder="1" applyAlignment="1">
      <alignment horizontal="center" vertical="center" wrapText="1"/>
    </xf>
    <xf numFmtId="0" fontId="70" fillId="13" borderId="0" xfId="0" applyFont="1" applyFill="1" applyAlignment="1">
      <alignment horizontal="center" vertical="center" wrapText="1"/>
    </xf>
    <xf numFmtId="0" fontId="45" fillId="25" borderId="1" xfId="0" applyFont="1" applyFill="1" applyBorder="1" applyAlignment="1">
      <alignment horizontal="center" vertical="center" wrapText="1"/>
    </xf>
    <xf numFmtId="9" fontId="37" fillId="18" borderId="1" xfId="3" applyFont="1" applyFill="1" applyBorder="1" applyAlignment="1">
      <alignment horizontal="center" vertical="center" wrapText="1"/>
    </xf>
    <xf numFmtId="9" fontId="37" fillId="18" borderId="26" xfId="3" applyFont="1" applyFill="1" applyBorder="1" applyAlignment="1">
      <alignment horizontal="center" vertical="center" wrapText="1"/>
    </xf>
    <xf numFmtId="9" fontId="37" fillId="18" borderId="63" xfId="3" applyFont="1" applyFill="1" applyBorder="1" applyAlignment="1">
      <alignment horizontal="center" vertical="center" wrapText="1"/>
    </xf>
    <xf numFmtId="9" fontId="37" fillId="18" borderId="25" xfId="3" applyFont="1" applyFill="1" applyBorder="1" applyAlignment="1">
      <alignment horizontal="center" vertical="center" wrapText="1"/>
    </xf>
    <xf numFmtId="9" fontId="37" fillId="18" borderId="64" xfId="3" applyFont="1" applyFill="1" applyBorder="1" applyAlignment="1">
      <alignment horizontal="center" vertical="center" wrapText="1"/>
    </xf>
    <xf numFmtId="9" fontId="37" fillId="18" borderId="59" xfId="3" applyFont="1" applyFill="1" applyBorder="1" applyAlignment="1">
      <alignment horizontal="center" vertical="center" wrapText="1"/>
    </xf>
    <xf numFmtId="9" fontId="37" fillId="18" borderId="65" xfId="3" applyFont="1" applyFill="1" applyBorder="1" applyAlignment="1">
      <alignment horizontal="center" vertical="center" wrapText="1"/>
    </xf>
    <xf numFmtId="0" fontId="45" fillId="25" borderId="2" xfId="0" applyFont="1" applyFill="1" applyBorder="1" applyAlignment="1">
      <alignment horizontal="center" vertical="center" wrapText="1"/>
    </xf>
    <xf numFmtId="0" fontId="45" fillId="25" borderId="13" xfId="0" applyFont="1" applyFill="1" applyBorder="1" applyAlignment="1">
      <alignment horizontal="center" vertical="center" wrapText="1"/>
    </xf>
    <xf numFmtId="49" fontId="52" fillId="8" borderId="1" xfId="0" applyNumberFormat="1" applyFont="1" applyFill="1" applyBorder="1" applyAlignment="1">
      <alignment horizontal="center" vertical="center" wrapText="1"/>
    </xf>
    <xf numFmtId="0" fontId="45" fillId="14" borderId="1" xfId="0" applyFont="1" applyFill="1" applyBorder="1" applyAlignment="1">
      <alignment horizontal="center" vertical="center" wrapText="1"/>
    </xf>
    <xf numFmtId="0" fontId="45" fillId="14" borderId="2" xfId="0" applyFont="1" applyFill="1" applyBorder="1" applyAlignment="1">
      <alignment horizontal="center" vertical="center" wrapText="1"/>
    </xf>
    <xf numFmtId="0" fontId="45" fillId="14" borderId="13" xfId="0" applyFont="1" applyFill="1" applyBorder="1" applyAlignment="1">
      <alignment horizontal="center" vertical="center" wrapText="1"/>
    </xf>
    <xf numFmtId="9" fontId="37" fillId="23" borderId="1" xfId="3" applyFont="1" applyFill="1" applyBorder="1" applyAlignment="1">
      <alignment horizontal="center" vertical="center" wrapText="1"/>
    </xf>
    <xf numFmtId="0" fontId="36" fillId="0" borderId="36" xfId="0" applyFont="1" applyBorder="1" applyAlignment="1">
      <alignment horizontal="center" vertical="center"/>
    </xf>
    <xf numFmtId="0" fontId="36" fillId="0" borderId="13" xfId="0" applyFont="1" applyBorder="1" applyAlignment="1">
      <alignment horizontal="center" vertical="center"/>
    </xf>
    <xf numFmtId="9" fontId="37" fillId="20" borderId="22" xfId="3" applyFont="1" applyFill="1" applyBorder="1" applyAlignment="1">
      <alignment horizontal="center" vertical="center" wrapText="1"/>
    </xf>
    <xf numFmtId="9" fontId="37" fillId="20" borderId="48" xfId="3" applyFont="1" applyFill="1" applyBorder="1" applyAlignment="1">
      <alignment horizontal="center" vertical="center" wrapText="1"/>
    </xf>
    <xf numFmtId="9" fontId="37" fillId="20" borderId="29" xfId="3" applyFont="1" applyFill="1" applyBorder="1" applyAlignment="1">
      <alignment horizontal="center" vertical="center" wrapText="1"/>
    </xf>
    <xf numFmtId="0" fontId="36" fillId="8" borderId="1" xfId="0" applyFont="1" applyFill="1" applyBorder="1" applyAlignment="1">
      <alignment horizontal="justify" vertical="center" wrapText="1"/>
    </xf>
    <xf numFmtId="0" fontId="67" fillId="13" borderId="38" xfId="0" applyFont="1" applyFill="1" applyBorder="1" applyAlignment="1">
      <alignment horizontal="center" vertical="center" wrapText="1"/>
    </xf>
    <xf numFmtId="0" fontId="67" fillId="13" borderId="0" xfId="0" applyFont="1" applyFill="1" applyAlignment="1">
      <alignment horizontal="center" vertical="center" wrapText="1"/>
    </xf>
    <xf numFmtId="0" fontId="14" fillId="8" borderId="1" xfId="0" applyFont="1" applyFill="1" applyBorder="1" applyAlignment="1">
      <alignment horizontal="center" vertical="center" wrapText="1"/>
    </xf>
    <xf numFmtId="0" fontId="2" fillId="11" borderId="1" xfId="2" applyFont="1" applyFill="1" applyBorder="1" applyAlignment="1">
      <alignment horizontal="center" vertical="center" wrapText="1"/>
    </xf>
    <xf numFmtId="0" fontId="1" fillId="11" borderId="1" xfId="2" applyFont="1" applyFill="1" applyBorder="1" applyAlignment="1">
      <alignment horizontal="center" vertical="center"/>
    </xf>
    <xf numFmtId="0" fontId="32" fillId="2" borderId="2" xfId="0" applyFont="1" applyFill="1" applyBorder="1" applyAlignment="1">
      <alignment horizontal="center" vertical="center" wrapText="1"/>
    </xf>
    <xf numFmtId="0" fontId="32" fillId="2" borderId="13" xfId="0" applyFont="1" applyFill="1" applyBorder="1" applyAlignment="1">
      <alignment horizontal="center" vertical="center" wrapText="1"/>
    </xf>
    <xf numFmtId="0" fontId="43" fillId="13" borderId="1" xfId="0" applyFont="1" applyFill="1" applyBorder="1" applyAlignment="1">
      <alignment horizontal="center" vertical="center" wrapText="1"/>
    </xf>
    <xf numFmtId="0" fontId="32" fillId="2" borderId="6" xfId="0" applyFont="1" applyFill="1" applyBorder="1" applyAlignment="1">
      <alignment horizontal="center" vertical="center" wrapText="1"/>
    </xf>
    <xf numFmtId="0" fontId="32" fillId="2" borderId="28" xfId="0" applyFont="1" applyFill="1" applyBorder="1" applyAlignment="1">
      <alignment horizontal="center" vertical="center" wrapText="1"/>
    </xf>
    <xf numFmtId="9" fontId="34" fillId="22" borderId="1" xfId="3" applyFont="1" applyFill="1" applyBorder="1" applyAlignment="1">
      <alignment horizontal="center" vertical="center" wrapText="1"/>
    </xf>
    <xf numFmtId="0" fontId="32" fillId="2" borderId="36" xfId="0" applyFont="1" applyFill="1" applyBorder="1" applyAlignment="1">
      <alignment horizontal="center" vertical="center" wrapText="1"/>
    </xf>
    <xf numFmtId="0" fontId="6" fillId="24" borderId="22" xfId="2" applyFont="1" applyFill="1" applyBorder="1" applyAlignment="1">
      <alignment horizontal="center" vertical="top" wrapText="1"/>
    </xf>
    <xf numFmtId="0" fontId="6" fillId="24" borderId="48" xfId="2" applyFont="1" applyFill="1" applyBorder="1" applyAlignment="1">
      <alignment horizontal="center" vertical="top" wrapText="1"/>
    </xf>
    <xf numFmtId="0" fontId="6" fillId="24" borderId="29" xfId="2" applyFont="1" applyFill="1" applyBorder="1" applyAlignment="1">
      <alignment horizontal="center" vertical="top" wrapText="1"/>
    </xf>
    <xf numFmtId="0" fontId="32" fillId="2" borderId="22" xfId="0" applyFont="1" applyFill="1" applyBorder="1" applyAlignment="1">
      <alignment horizontal="center" vertical="center" wrapText="1"/>
    </xf>
    <xf numFmtId="0" fontId="32" fillId="2" borderId="48" xfId="0" applyFont="1" applyFill="1" applyBorder="1" applyAlignment="1">
      <alignment horizontal="center" vertical="center" wrapText="1"/>
    </xf>
    <xf numFmtId="0" fontId="32" fillId="2" borderId="29"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2" fillId="11" borderId="22" xfId="2" applyFont="1" applyFill="1" applyBorder="1" applyAlignment="1">
      <alignment horizontal="left" vertical="center" wrapText="1"/>
    </xf>
    <xf numFmtId="0" fontId="2" fillId="11" borderId="29" xfId="2" applyFont="1" applyFill="1" applyBorder="1" applyAlignment="1">
      <alignment horizontal="left" vertical="center" wrapText="1"/>
    </xf>
    <xf numFmtId="0" fontId="71" fillId="2" borderId="51" xfId="0" applyFont="1" applyFill="1" applyBorder="1" applyAlignment="1">
      <alignment horizontal="center" vertical="center" wrapText="1"/>
    </xf>
    <xf numFmtId="0" fontId="71" fillId="2" borderId="66" xfId="0" applyFont="1" applyFill="1" applyBorder="1" applyAlignment="1">
      <alignment horizontal="center" vertical="center" wrapText="1"/>
    </xf>
    <xf numFmtId="0" fontId="32" fillId="2" borderId="55" xfId="0" applyFont="1" applyFill="1" applyBorder="1" applyAlignment="1">
      <alignment horizontal="center" vertical="center" wrapText="1"/>
    </xf>
    <xf numFmtId="0" fontId="32" fillId="2" borderId="43" xfId="0" applyFont="1" applyFill="1" applyBorder="1" applyAlignment="1">
      <alignment horizontal="center" vertical="center" wrapText="1"/>
    </xf>
    <xf numFmtId="0" fontId="32" fillId="2" borderId="51" xfId="0" applyFont="1" applyFill="1" applyBorder="1" applyAlignment="1">
      <alignment horizontal="center" vertical="center" wrapText="1"/>
    </xf>
    <xf numFmtId="0" fontId="32" fillId="2" borderId="66" xfId="0" applyFont="1" applyFill="1" applyBorder="1" applyAlignment="1">
      <alignment horizontal="center" vertical="center" wrapText="1"/>
    </xf>
    <xf numFmtId="0" fontId="72" fillId="2" borderId="47" xfId="0" applyFont="1" applyFill="1" applyBorder="1" applyAlignment="1">
      <alignment horizontal="center" vertical="center" wrapText="1"/>
    </xf>
    <xf numFmtId="0" fontId="72" fillId="2" borderId="34" xfId="0" applyFont="1" applyFill="1" applyBorder="1" applyAlignment="1">
      <alignment horizontal="center" vertical="center" wrapText="1"/>
    </xf>
    <xf numFmtId="0" fontId="72" fillId="2" borderId="35" xfId="0" applyFont="1" applyFill="1" applyBorder="1" applyAlignment="1">
      <alignment horizontal="center" vertical="center" wrapText="1"/>
    </xf>
  </cellXfs>
  <cellStyles count="4">
    <cellStyle name="Hipervínculo" xfId="1" builtinId="8"/>
    <cellStyle name="Normal" xfId="0" builtinId="0"/>
    <cellStyle name="Normal 2" xfId="2" xr:uid="{D0C44CD9-352B-4677-A196-DB0BD177A4B4}"/>
    <cellStyle name="Porcentaje" xfId="3" builtinId="5"/>
  </cellStyles>
  <dxfs count="10">
    <dxf>
      <fill>
        <patternFill patternType="solid">
          <fgColor indexed="34"/>
          <bgColor indexed="13"/>
        </patternFill>
      </fill>
      <border>
        <left/>
        <right/>
        <top/>
        <bottom/>
      </border>
    </dxf>
    <dxf>
      <fill>
        <patternFill patternType="solid">
          <fgColor indexed="60"/>
          <bgColor indexed="10"/>
        </patternFill>
      </fill>
      <border>
        <left/>
        <right/>
        <top/>
        <bottom/>
      </border>
    </dxf>
    <dxf>
      <fill>
        <patternFill patternType="solid">
          <fgColor indexed="60"/>
          <bgColor indexed="10"/>
        </patternFill>
      </fill>
      <border>
        <left style="thin">
          <color indexed="59"/>
        </left>
        <right style="thin">
          <color indexed="59"/>
        </right>
        <top style="thin">
          <color indexed="59"/>
        </top>
        <bottom style="thin">
          <color indexed="59"/>
        </bottom>
      </border>
    </dxf>
    <dxf>
      <border>
        <left style="thin">
          <color indexed="59"/>
        </left>
        <right style="thin">
          <color indexed="59"/>
        </right>
        <top style="thin">
          <color indexed="59"/>
        </top>
        <bottom style="thin">
          <color indexed="59"/>
        </bottom>
      </border>
    </dxf>
    <dxf>
      <border>
        <left style="thin">
          <color indexed="40"/>
        </left>
        <right style="thin">
          <color indexed="40"/>
        </right>
        <top style="thin">
          <color indexed="40"/>
        </top>
        <bottom style="thin">
          <color indexed="40"/>
        </bottom>
      </border>
    </dxf>
    <dxf>
      <fill>
        <patternFill patternType="solid">
          <fgColor indexed="34"/>
          <bgColor indexed="13"/>
        </patternFill>
      </fill>
      <border>
        <left/>
        <right/>
        <top/>
        <bottom/>
      </border>
    </dxf>
    <dxf>
      <fill>
        <patternFill patternType="solid">
          <fgColor indexed="60"/>
          <bgColor indexed="10"/>
        </patternFill>
      </fill>
      <border>
        <left/>
        <right/>
        <top/>
        <bottom/>
      </border>
    </dxf>
    <dxf>
      <fill>
        <patternFill patternType="solid">
          <fgColor indexed="60"/>
          <bgColor indexed="10"/>
        </patternFill>
      </fill>
      <border>
        <left style="thin">
          <color indexed="59"/>
        </left>
        <right style="thin">
          <color indexed="59"/>
        </right>
        <top style="thin">
          <color indexed="59"/>
        </top>
        <bottom style="thin">
          <color indexed="59"/>
        </bottom>
      </border>
    </dxf>
    <dxf>
      <border>
        <left style="thin">
          <color indexed="59"/>
        </left>
        <right style="thin">
          <color indexed="59"/>
        </right>
        <top style="thin">
          <color indexed="59"/>
        </top>
        <bottom style="thin">
          <color indexed="59"/>
        </bottom>
      </border>
    </dxf>
    <dxf>
      <border>
        <left style="thin">
          <color indexed="40"/>
        </left>
        <right style="thin">
          <color indexed="40"/>
        </right>
        <top style="thin">
          <color indexed="40"/>
        </top>
        <bottom style="thin">
          <color indexed="40"/>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0.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s-CO"/>
              <a:t>4. CONTEXTO</a:t>
            </a:r>
          </a:p>
        </c:rich>
      </c:tx>
      <c:layout>
        <c:manualLayout>
          <c:xMode val="edge"/>
          <c:yMode val="edge"/>
          <c:x val="0.42104075532225144"/>
          <c:y val="5.3723284589426323E-2"/>
        </c:manualLayout>
      </c:layout>
      <c:overlay val="0"/>
    </c:title>
    <c:autoTitleDeleted val="0"/>
    <c:plotArea>
      <c:layout/>
      <c:radarChart>
        <c:radarStyle val="marker"/>
        <c:varyColors val="0"/>
        <c:ser>
          <c:idx val="0"/>
          <c:order val="0"/>
          <c:spPr>
            <a:ln>
              <a:solidFill>
                <a:srgbClr val="C00000"/>
              </a:solidFill>
            </a:ln>
          </c:spPr>
          <c:marker>
            <c:symbol val="none"/>
          </c:marker>
          <c:cat>
            <c:strRef>
              <c:f>'4 CONTEXTO'!$B$27:$B$30</c:f>
              <c:strCache>
                <c:ptCount val="4"/>
                <c:pt idx="0">
                  <c:v>4.1 CONOCIMIENTO DE LA ORGANIZACIÓN Y DE SU CONTEXTO</c:v>
                </c:pt>
                <c:pt idx="1">
                  <c:v>4.2 COMPRENSIÓN DE LAS NECESIDADES Y EXPECTATIVAS DE LAS PARTES INTERESADAS</c:v>
                </c:pt>
                <c:pt idx="2">
                  <c:v>4.3 DETERMINACIÓN DEL ALCANCE DEL DE GESTIÓN DE LA SEGURIDAD DE LA INFORMACIÓN</c:v>
                </c:pt>
                <c:pt idx="3">
                  <c:v>4.4 SISTEMA DE GESTIÓN DE LA SEGURIDAD DE LA INFORMACIÓN</c:v>
                </c:pt>
              </c:strCache>
            </c:strRef>
          </c:cat>
          <c:val>
            <c:numRef>
              <c:f>'4 CONTEXTO'!$C$27:$C$30</c:f>
              <c:numCache>
                <c:formatCode>0%</c:formatCode>
                <c:ptCount val="4"/>
                <c:pt idx="0">
                  <c:v>0.5</c:v>
                </c:pt>
                <c:pt idx="1">
                  <c:v>0</c:v>
                </c:pt>
                <c:pt idx="2">
                  <c:v>0.3</c:v>
                </c:pt>
                <c:pt idx="3">
                  <c:v>0.5</c:v>
                </c:pt>
              </c:numCache>
            </c:numRef>
          </c:val>
          <c:extLst>
            <c:ext xmlns:c16="http://schemas.microsoft.com/office/drawing/2014/chart" uri="{C3380CC4-5D6E-409C-BE32-E72D297353CC}">
              <c16:uniqueId val="{00000000-F185-434C-B0A7-0E508395209F}"/>
            </c:ext>
          </c:extLst>
        </c:ser>
        <c:dLbls>
          <c:showLegendKey val="0"/>
          <c:showVal val="0"/>
          <c:showCatName val="0"/>
          <c:showSerName val="0"/>
          <c:showPercent val="0"/>
          <c:showBubbleSize val="0"/>
        </c:dLbls>
        <c:axId val="1619711248"/>
        <c:axId val="1"/>
      </c:radarChart>
      <c:catAx>
        <c:axId val="1619711248"/>
        <c:scaling>
          <c:orientation val="minMax"/>
        </c:scaling>
        <c:delete val="0"/>
        <c:axPos val="b"/>
        <c:majorGridlines/>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619711248"/>
        <c:crosses val="autoZero"/>
        <c:crossBetween val="between"/>
      </c:valAx>
    </c:plotArea>
    <c:plotVisOnly val="1"/>
    <c:dispBlanksAs val="gap"/>
    <c:showDLblsOverMax val="0"/>
  </c:chart>
  <c:spPr>
    <a:ln w="38100">
      <a:solidFill>
        <a:srgbClr val="C00000"/>
      </a:solidFill>
    </a:ln>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2400" b="1" i="0" u="none" strike="noStrike" baseline="0">
                <a:solidFill>
                  <a:srgbClr val="000000"/>
                </a:solidFill>
                <a:latin typeface="Calibri"/>
                <a:ea typeface="Calibri"/>
                <a:cs typeface="Calibri"/>
              </a:defRPr>
            </a:pPr>
            <a:r>
              <a:rPr lang="es-CO" sz="2400"/>
              <a:t>4. CONTEXTO</a:t>
            </a:r>
          </a:p>
        </c:rich>
      </c:tx>
      <c:layout>
        <c:manualLayout>
          <c:xMode val="edge"/>
          <c:yMode val="edge"/>
          <c:x val="0.39146278043915839"/>
          <c:y val="1.2188026747912792E-2"/>
        </c:manualLayout>
      </c:layout>
      <c:overlay val="0"/>
    </c:title>
    <c:autoTitleDeleted val="0"/>
    <c:plotArea>
      <c:layout>
        <c:manualLayout>
          <c:layoutTarget val="inner"/>
          <c:xMode val="edge"/>
          <c:yMode val="edge"/>
          <c:x val="0.25746432397580821"/>
          <c:y val="0.22969028369001862"/>
          <c:w val="0.46483389596157948"/>
          <c:h val="0.6527538467099635"/>
        </c:manualLayout>
      </c:layout>
      <c:radarChart>
        <c:radarStyle val="marker"/>
        <c:varyColors val="0"/>
        <c:ser>
          <c:idx val="0"/>
          <c:order val="0"/>
          <c:spPr>
            <a:ln>
              <a:solidFill>
                <a:srgbClr val="C00000"/>
              </a:solidFill>
            </a:ln>
          </c:spPr>
          <c:marker>
            <c:symbol val="none"/>
          </c:marker>
          <c:cat>
            <c:strRef>
              <c:f>'4 CONTEXTO'!$B$27:$B$30</c:f>
              <c:strCache>
                <c:ptCount val="4"/>
                <c:pt idx="0">
                  <c:v>4.1 CONOCIMIENTO DE LA ORGANIZACIÓN Y DE SU CONTEXTO</c:v>
                </c:pt>
                <c:pt idx="1">
                  <c:v>4.2 COMPRENSIÓN DE LAS NECESIDADES Y EXPECTATIVAS DE LAS PARTES INTERESADAS</c:v>
                </c:pt>
                <c:pt idx="2">
                  <c:v>4.3 DETERMINACIÓN DEL ALCANCE DEL DE GESTIÓN DE LA SEGURIDAD DE LA INFORMACIÓN</c:v>
                </c:pt>
                <c:pt idx="3">
                  <c:v>4.4 SISTEMA DE GESTIÓN DE LA SEGURIDAD DE LA INFORMACIÓN</c:v>
                </c:pt>
              </c:strCache>
            </c:strRef>
          </c:cat>
          <c:val>
            <c:numRef>
              <c:f>'4 CONTEXTO'!$C$27:$C$30</c:f>
              <c:numCache>
                <c:formatCode>0%</c:formatCode>
                <c:ptCount val="4"/>
                <c:pt idx="0">
                  <c:v>0.5</c:v>
                </c:pt>
                <c:pt idx="1">
                  <c:v>0</c:v>
                </c:pt>
                <c:pt idx="2">
                  <c:v>0.3</c:v>
                </c:pt>
                <c:pt idx="3">
                  <c:v>0.5</c:v>
                </c:pt>
              </c:numCache>
            </c:numRef>
          </c:val>
          <c:extLst>
            <c:ext xmlns:c16="http://schemas.microsoft.com/office/drawing/2014/chart" uri="{C3380CC4-5D6E-409C-BE32-E72D297353CC}">
              <c16:uniqueId val="{00000000-676A-4889-AC64-C1972F9F1A4A}"/>
            </c:ext>
          </c:extLst>
        </c:ser>
        <c:dLbls>
          <c:showLegendKey val="0"/>
          <c:showVal val="0"/>
          <c:showCatName val="0"/>
          <c:showSerName val="0"/>
          <c:showPercent val="0"/>
          <c:showBubbleSize val="0"/>
        </c:dLbls>
        <c:axId val="1619713168"/>
        <c:axId val="1"/>
      </c:radarChart>
      <c:catAx>
        <c:axId val="1619713168"/>
        <c:scaling>
          <c:orientation val="minMax"/>
        </c:scaling>
        <c:delete val="0"/>
        <c:axPos val="b"/>
        <c:majorGridlines/>
        <c:numFmt formatCode="General" sourceLinked="0"/>
        <c:majorTickMark val="out"/>
        <c:minorTickMark val="none"/>
        <c:tickLblPos val="nextTo"/>
        <c:txPr>
          <a:bodyPr rot="0" vert="horz"/>
          <a:lstStyle/>
          <a:p>
            <a:pPr>
              <a:defRPr sz="12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619713168"/>
        <c:crosses val="autoZero"/>
        <c:crossBetween val="between"/>
      </c:valAx>
    </c:plotArea>
    <c:plotVisOnly val="1"/>
    <c:dispBlanksAs val="gap"/>
    <c:showDLblsOverMax val="0"/>
  </c:chart>
  <c:spPr>
    <a:ln w="38100">
      <a:solidFill>
        <a:srgbClr val="C00000"/>
      </a:solidFill>
    </a:ln>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1800" b="1" i="0" u="none" strike="noStrike" baseline="0">
                <a:solidFill>
                  <a:srgbClr val="000000"/>
                </a:solidFill>
                <a:latin typeface="Calibri"/>
                <a:ea typeface="Calibri"/>
                <a:cs typeface="Calibri"/>
              </a:defRPr>
            </a:pPr>
            <a:r>
              <a:rPr lang="es-CO"/>
              <a:t>5. LIDERAZGO</a:t>
            </a:r>
          </a:p>
        </c:rich>
      </c:tx>
      <c:layout>
        <c:manualLayout>
          <c:xMode val="edge"/>
          <c:yMode val="edge"/>
          <c:x val="0.38803953989292767"/>
          <c:y val="1.2297055738576769E-3"/>
        </c:manualLayout>
      </c:layout>
      <c:overlay val="0"/>
    </c:title>
    <c:autoTitleDeleted val="0"/>
    <c:plotArea>
      <c:layout/>
      <c:radarChart>
        <c:radarStyle val="marker"/>
        <c:varyColors val="0"/>
        <c:ser>
          <c:idx val="0"/>
          <c:order val="0"/>
          <c:cat>
            <c:strRef>
              <c:f>'5 LIDERAZGO'!$B$34:$B$36</c:f>
              <c:strCache>
                <c:ptCount val="3"/>
                <c:pt idx="0">
                  <c:v>5.1 LIDERAZGO Y COMPROMISO</c:v>
                </c:pt>
                <c:pt idx="1">
                  <c:v>5.2 POLÍTICA</c:v>
                </c:pt>
                <c:pt idx="2">
                  <c:v>5.3 ROLES, RESPONSABILIDADES Y AUTORIDADES EN LA ORGANIZACIÓN</c:v>
                </c:pt>
              </c:strCache>
            </c:strRef>
          </c:cat>
          <c:val>
            <c:numRef>
              <c:f>'5 LIDERAZGO'!$C$34:$C$36</c:f>
              <c:numCache>
                <c:formatCode>0%</c:formatCode>
                <c:ptCount val="3"/>
                <c:pt idx="0">
                  <c:v>0.3125</c:v>
                </c:pt>
                <c:pt idx="1">
                  <c:v>0.42857142857142855</c:v>
                </c:pt>
                <c:pt idx="2">
                  <c:v>0.33333333333333331</c:v>
                </c:pt>
              </c:numCache>
            </c:numRef>
          </c:val>
          <c:extLst>
            <c:ext xmlns:c16="http://schemas.microsoft.com/office/drawing/2014/chart" uri="{C3380CC4-5D6E-409C-BE32-E72D297353CC}">
              <c16:uniqueId val="{00000000-66DB-47CC-A0AD-3614B03AED9F}"/>
            </c:ext>
          </c:extLst>
        </c:ser>
        <c:dLbls>
          <c:showLegendKey val="0"/>
          <c:showVal val="0"/>
          <c:showCatName val="0"/>
          <c:showSerName val="0"/>
          <c:showPercent val="0"/>
          <c:showBubbleSize val="0"/>
        </c:dLbls>
        <c:axId val="827843248"/>
        <c:axId val="1"/>
      </c:radarChart>
      <c:catAx>
        <c:axId val="827843248"/>
        <c:scaling>
          <c:orientation val="minMax"/>
        </c:scaling>
        <c:delete val="0"/>
        <c:axPos val="b"/>
        <c:majorGridlines/>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827843248"/>
        <c:crosses val="autoZero"/>
        <c:crossBetween val="between"/>
      </c:valAx>
    </c:plotArea>
    <c:plotVisOnly val="1"/>
    <c:dispBlanksAs val="gap"/>
    <c:showDLblsOverMax val="0"/>
  </c:chart>
  <c:spPr>
    <a:ln w="28575">
      <a:solidFill>
        <a:srgbClr val="C00000"/>
      </a:solidFill>
    </a:ln>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1260" b="1" i="0" u="none" strike="noStrike" baseline="0">
                <a:solidFill>
                  <a:srgbClr val="000000"/>
                </a:solidFill>
                <a:latin typeface="Calibri"/>
                <a:ea typeface="Calibri"/>
                <a:cs typeface="Calibri"/>
              </a:defRPr>
            </a:pPr>
            <a:r>
              <a:rPr lang="es-CO" sz="1800"/>
              <a:t>6.PLANIFICACIÓN</a:t>
            </a:r>
          </a:p>
        </c:rich>
      </c:tx>
      <c:layout>
        <c:manualLayout>
          <c:xMode val="edge"/>
          <c:yMode val="edge"/>
          <c:x val="0.39769098055494295"/>
          <c:y val="0"/>
        </c:manualLayout>
      </c:layout>
      <c:overlay val="0"/>
    </c:title>
    <c:autoTitleDeleted val="0"/>
    <c:plotArea>
      <c:layout>
        <c:manualLayout>
          <c:layoutTarget val="inner"/>
          <c:xMode val="edge"/>
          <c:yMode val="edge"/>
          <c:x val="0.24551094540974219"/>
          <c:y val="0.19890875144233833"/>
          <c:w val="0.5311898137894292"/>
          <c:h val="0.79219774676307386"/>
        </c:manualLayout>
      </c:layout>
      <c:radarChart>
        <c:radarStyle val="marker"/>
        <c:varyColors val="0"/>
        <c:ser>
          <c:idx val="0"/>
          <c:order val="0"/>
          <c:marker>
            <c:symbol val="none"/>
          </c:marker>
          <c:cat>
            <c:strRef>
              <c:f>'6 PLANIFICACIÓN'!$B$55:$B$57</c:f>
              <c:strCache>
                <c:ptCount val="3"/>
                <c:pt idx="0">
                  <c:v>6.1 ACCIONES PARA ABORDAR RIESGOS Y OPORTUNIDADES</c:v>
                </c:pt>
                <c:pt idx="1">
                  <c:v>6.2 OBJETIVOS DE SEGURIDAD DE LA INFORMACIÓN Y LA PLANIFICACIÓN PARA ALCANZARLOS</c:v>
                </c:pt>
                <c:pt idx="2">
                  <c:v>6.3. PLANIFICACIÓN DE CAMBIOS</c:v>
                </c:pt>
              </c:strCache>
            </c:strRef>
          </c:cat>
          <c:val>
            <c:numRef>
              <c:f>'6 PLANIFICACIÓN'!#REF!</c:f>
              <c:numCache>
                <c:formatCode>General</c:formatCode>
                <c:ptCount val="1"/>
                <c:pt idx="0">
                  <c:v>1</c:v>
                </c:pt>
              </c:numCache>
            </c:numRef>
          </c:val>
          <c:extLst>
            <c:ext xmlns:c16="http://schemas.microsoft.com/office/drawing/2014/chart" uri="{C3380CC4-5D6E-409C-BE32-E72D297353CC}">
              <c16:uniqueId val="{00000000-9FE2-465F-A061-11B545C1A9DF}"/>
            </c:ext>
          </c:extLst>
        </c:ser>
        <c:ser>
          <c:idx val="1"/>
          <c:order val="1"/>
          <c:marker>
            <c:symbol val="none"/>
          </c:marker>
          <c:cat>
            <c:strRef>
              <c:f>'6 PLANIFICACIÓN'!$B$55:$B$57</c:f>
              <c:strCache>
                <c:ptCount val="3"/>
                <c:pt idx="0">
                  <c:v>6.1 ACCIONES PARA ABORDAR RIESGOS Y OPORTUNIDADES</c:v>
                </c:pt>
                <c:pt idx="1">
                  <c:v>6.2 OBJETIVOS DE SEGURIDAD DE LA INFORMACIÓN Y LA PLANIFICACIÓN PARA ALCANZARLOS</c:v>
                </c:pt>
                <c:pt idx="2">
                  <c:v>6.3. PLANIFICACIÓN DE CAMBIOS</c:v>
                </c:pt>
              </c:strCache>
            </c:strRef>
          </c:cat>
          <c:val>
            <c:numRef>
              <c:f>'6 PLANIFICACIÓN'!$C$55:$C$57</c:f>
              <c:numCache>
                <c:formatCode>0%</c:formatCode>
                <c:ptCount val="3"/>
                <c:pt idx="0">
                  <c:v>0.12301587301587302</c:v>
                </c:pt>
                <c:pt idx="1">
                  <c:v>0.27272727272727271</c:v>
                </c:pt>
                <c:pt idx="2">
                  <c:v>0.5</c:v>
                </c:pt>
              </c:numCache>
            </c:numRef>
          </c:val>
          <c:extLst>
            <c:ext xmlns:c16="http://schemas.microsoft.com/office/drawing/2014/chart" uri="{C3380CC4-5D6E-409C-BE32-E72D297353CC}">
              <c16:uniqueId val="{00000001-9FE2-465F-A061-11B545C1A9DF}"/>
            </c:ext>
          </c:extLst>
        </c:ser>
        <c:ser>
          <c:idx val="2"/>
          <c:order val="2"/>
          <c:marker>
            <c:symbol val="none"/>
          </c:marker>
          <c:cat>
            <c:strRef>
              <c:f>'6 PLANIFICACIÓN'!$B$55:$B$57</c:f>
              <c:strCache>
                <c:ptCount val="3"/>
                <c:pt idx="0">
                  <c:v>6.1 ACCIONES PARA ABORDAR RIESGOS Y OPORTUNIDADES</c:v>
                </c:pt>
                <c:pt idx="1">
                  <c:v>6.2 OBJETIVOS DE SEGURIDAD DE LA INFORMACIÓN Y LA PLANIFICACIÓN PARA ALCANZARLOS</c:v>
                </c:pt>
                <c:pt idx="2">
                  <c:v>6.3. PLANIFICACIÓN DE CAMBIOS</c:v>
                </c:pt>
              </c:strCache>
            </c:strRef>
          </c:cat>
          <c:val>
            <c:numRef>
              <c:f>'6 PLANIFICACIÓN'!$E$55:$E$57</c:f>
              <c:numCache>
                <c:formatCode>0%</c:formatCode>
                <c:ptCount val="3"/>
              </c:numCache>
            </c:numRef>
          </c:val>
          <c:extLst>
            <c:ext xmlns:c16="http://schemas.microsoft.com/office/drawing/2014/chart" uri="{C3380CC4-5D6E-409C-BE32-E72D297353CC}">
              <c16:uniqueId val="{00000002-9FE2-465F-A061-11B545C1A9DF}"/>
            </c:ext>
          </c:extLst>
        </c:ser>
        <c:ser>
          <c:idx val="3"/>
          <c:order val="3"/>
          <c:marker>
            <c:symbol val="none"/>
          </c:marker>
          <c:cat>
            <c:strRef>
              <c:f>'6 PLANIFICACIÓN'!$B$55:$B$57</c:f>
              <c:strCache>
                <c:ptCount val="3"/>
                <c:pt idx="0">
                  <c:v>6.1 ACCIONES PARA ABORDAR RIESGOS Y OPORTUNIDADES</c:v>
                </c:pt>
                <c:pt idx="1">
                  <c:v>6.2 OBJETIVOS DE SEGURIDAD DE LA INFORMACIÓN Y LA PLANIFICACIÓN PARA ALCANZARLOS</c:v>
                </c:pt>
                <c:pt idx="2">
                  <c:v>6.3. PLANIFICACIÓN DE CAMBIOS</c:v>
                </c:pt>
              </c:strCache>
            </c:strRef>
          </c:cat>
          <c:val>
            <c:numRef>
              <c:f>'6 PLANIFICACIÓN'!$F$55:$F$57</c:f>
              <c:numCache>
                <c:formatCode>0%</c:formatCode>
                <c:ptCount val="3"/>
              </c:numCache>
            </c:numRef>
          </c:val>
          <c:extLst>
            <c:ext xmlns:c16="http://schemas.microsoft.com/office/drawing/2014/chart" uri="{C3380CC4-5D6E-409C-BE32-E72D297353CC}">
              <c16:uniqueId val="{00000003-9FE2-465F-A061-11B545C1A9DF}"/>
            </c:ext>
          </c:extLst>
        </c:ser>
        <c:dLbls>
          <c:showLegendKey val="0"/>
          <c:showVal val="0"/>
          <c:showCatName val="0"/>
          <c:showSerName val="0"/>
          <c:showPercent val="0"/>
          <c:showBubbleSize val="0"/>
        </c:dLbls>
        <c:axId val="1568924080"/>
        <c:axId val="1"/>
      </c:radarChart>
      <c:catAx>
        <c:axId val="1568924080"/>
        <c:scaling>
          <c:orientation val="minMax"/>
        </c:scaling>
        <c:delete val="0"/>
        <c:axPos val="b"/>
        <c:majorGridlines/>
        <c:numFmt formatCode="General" sourceLinked="0"/>
        <c:majorTickMark val="out"/>
        <c:minorTickMark val="none"/>
        <c:tickLblPos val="nextTo"/>
        <c:txPr>
          <a:bodyPr rot="0" vert="horz"/>
          <a:lstStyle/>
          <a:p>
            <a:pPr>
              <a:defRPr sz="105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General" sourceLinked="1"/>
        <c:majorTickMark val="none"/>
        <c:minorTickMark val="none"/>
        <c:tickLblPos val="nextTo"/>
        <c:txPr>
          <a:bodyPr rot="0" vert="horz"/>
          <a:lstStyle/>
          <a:p>
            <a:pPr>
              <a:defRPr sz="1050" b="0" i="0" u="none" strike="noStrike" baseline="0">
                <a:solidFill>
                  <a:srgbClr val="000000"/>
                </a:solidFill>
                <a:latin typeface="Calibri"/>
                <a:ea typeface="Calibri"/>
                <a:cs typeface="Calibri"/>
              </a:defRPr>
            </a:pPr>
            <a:endParaRPr lang="es-CO"/>
          </a:p>
        </c:txPr>
        <c:crossAx val="1568924080"/>
        <c:crosses val="autoZero"/>
        <c:crossBetween val="between"/>
      </c:valAx>
    </c:plotArea>
    <c:plotVisOnly val="1"/>
    <c:dispBlanksAs val="gap"/>
    <c:showDLblsOverMax val="0"/>
  </c:chart>
  <c:spPr>
    <a:ln w="38100">
      <a:solidFill>
        <a:srgbClr val="C00000"/>
      </a:solidFill>
    </a:ln>
  </c:spPr>
  <c:txPr>
    <a:bodyPr/>
    <a:lstStyle/>
    <a:p>
      <a:pPr>
        <a:defRPr sz="105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1800" b="1" i="0" u="none" strike="noStrike" baseline="0">
                <a:solidFill>
                  <a:srgbClr val="000000"/>
                </a:solidFill>
                <a:latin typeface="Calibri"/>
                <a:ea typeface="Calibri"/>
                <a:cs typeface="Calibri"/>
              </a:defRPr>
            </a:pPr>
            <a:r>
              <a:rPr lang="es-CO"/>
              <a:t>7.SOPORTE</a:t>
            </a:r>
          </a:p>
        </c:rich>
      </c:tx>
      <c:overlay val="0"/>
    </c:title>
    <c:autoTitleDeleted val="0"/>
    <c:plotArea>
      <c:layout>
        <c:manualLayout>
          <c:layoutTarget val="inner"/>
          <c:xMode val="edge"/>
          <c:yMode val="edge"/>
          <c:x val="0.20340019466173664"/>
          <c:y val="0.23487811096102018"/>
          <c:w val="0.564150827895739"/>
          <c:h val="0.72214286952572149"/>
        </c:manualLayout>
      </c:layout>
      <c:radarChart>
        <c:radarStyle val="marker"/>
        <c:varyColors val="0"/>
        <c:ser>
          <c:idx val="0"/>
          <c:order val="0"/>
          <c:spPr>
            <a:ln w="38100"/>
          </c:spPr>
          <c:marker>
            <c:spPr>
              <a:ln w="38100"/>
            </c:spPr>
          </c:marker>
          <c:cat>
            <c:strRef>
              <c:f>'7 SOPORTE'!$B$58:$B$62</c:f>
              <c:strCache>
                <c:ptCount val="5"/>
                <c:pt idx="0">
                  <c:v>7.1 RECURSOS</c:v>
                </c:pt>
                <c:pt idx="1">
                  <c:v>7.2 COMPETENCIA</c:v>
                </c:pt>
                <c:pt idx="2">
                  <c:v>7.3 TOMA DE CONCIENCIA</c:v>
                </c:pt>
                <c:pt idx="3">
                  <c:v>7.4 COMUNICACIÓN</c:v>
                </c:pt>
                <c:pt idx="4">
                  <c:v>7.5 INFORMACIÓN DOCUMENTADA</c:v>
                </c:pt>
              </c:strCache>
            </c:strRef>
          </c:cat>
          <c:val>
            <c:numRef>
              <c:f>'7 SOPORTE'!$C$58:$C$62</c:f>
              <c:numCache>
                <c:formatCode>0%</c:formatCode>
                <c:ptCount val="5"/>
                <c:pt idx="0">
                  <c:v>0</c:v>
                </c:pt>
                <c:pt idx="1">
                  <c:v>0.5</c:v>
                </c:pt>
                <c:pt idx="2">
                  <c:v>0</c:v>
                </c:pt>
                <c:pt idx="3">
                  <c:v>0.5</c:v>
                </c:pt>
                <c:pt idx="4">
                  <c:v>0.83333333333333337</c:v>
                </c:pt>
              </c:numCache>
            </c:numRef>
          </c:val>
          <c:extLst>
            <c:ext xmlns:c16="http://schemas.microsoft.com/office/drawing/2014/chart" uri="{C3380CC4-5D6E-409C-BE32-E72D297353CC}">
              <c16:uniqueId val="{00000000-9396-4B18-BF82-7F69BFB91834}"/>
            </c:ext>
          </c:extLst>
        </c:ser>
        <c:dLbls>
          <c:showLegendKey val="0"/>
          <c:showVal val="0"/>
          <c:showCatName val="0"/>
          <c:showSerName val="0"/>
          <c:showPercent val="0"/>
          <c:showBubbleSize val="0"/>
        </c:dLbls>
        <c:axId val="1621001888"/>
        <c:axId val="1"/>
      </c:radarChart>
      <c:catAx>
        <c:axId val="1621001888"/>
        <c:scaling>
          <c:orientation val="minMax"/>
        </c:scaling>
        <c:delete val="0"/>
        <c:axPos val="b"/>
        <c:majorGridlines/>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621001888"/>
        <c:crosses val="autoZero"/>
        <c:crossBetween val="between"/>
      </c:valAx>
    </c:plotArea>
    <c:plotVisOnly val="1"/>
    <c:dispBlanksAs val="gap"/>
    <c:showDLblsOverMax val="0"/>
  </c:chart>
  <c:spPr>
    <a:ln w="57150">
      <a:solidFill>
        <a:srgbClr val="C00000"/>
      </a:solidFill>
    </a:ln>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1800" b="1" i="0" u="none" strike="noStrike" baseline="0">
                <a:solidFill>
                  <a:srgbClr val="000000"/>
                </a:solidFill>
                <a:latin typeface="Arial"/>
                <a:ea typeface="Arial"/>
                <a:cs typeface="Arial"/>
              </a:defRPr>
            </a:pPr>
            <a:r>
              <a:rPr lang="es-CO" sz="1800"/>
              <a:t>8.OPERACIÓN</a:t>
            </a:r>
          </a:p>
        </c:rich>
      </c:tx>
      <c:overlay val="0"/>
    </c:title>
    <c:autoTitleDeleted val="0"/>
    <c:plotArea>
      <c:layout>
        <c:manualLayout>
          <c:layoutTarget val="inner"/>
          <c:xMode val="edge"/>
          <c:yMode val="edge"/>
          <c:x val="0.23954453746535737"/>
          <c:y val="0.29659896067860142"/>
          <c:w val="0.47467853409406807"/>
          <c:h val="0.52907422507271595"/>
        </c:manualLayout>
      </c:layout>
      <c:radarChart>
        <c:radarStyle val="marker"/>
        <c:varyColors val="0"/>
        <c:ser>
          <c:idx val="0"/>
          <c:order val="0"/>
          <c:spPr>
            <a:ln w="38100">
              <a:solidFill>
                <a:srgbClr val="C00000"/>
              </a:solidFill>
            </a:ln>
          </c:spPr>
          <c:marker>
            <c:symbol val="none"/>
          </c:marker>
          <c:cat>
            <c:strRef>
              <c:f>'8 OPERACIÓN'!$B$22:$B$24</c:f>
              <c:strCache>
                <c:ptCount val="3"/>
                <c:pt idx="0">
                  <c:v>8.1 PLANIFICACIÓN Y CONTROL OPERACIONAL</c:v>
                </c:pt>
                <c:pt idx="1">
                  <c:v>8.2 VALORACIÓN DE RIESGOS DE LA SEGURIDAD DE LA INFORMACIÓN</c:v>
                </c:pt>
                <c:pt idx="2">
                  <c:v>8.3 TRATAMIENTO DE RIESGOS DE LA SEGURIDAD DE LA INFORMACIÓN</c:v>
                </c:pt>
              </c:strCache>
            </c:strRef>
          </c:cat>
          <c:val>
            <c:numRef>
              <c:f>'8 OPERACIÓN'!$C$22:$C$24</c:f>
              <c:numCache>
                <c:formatCode>0%</c:formatCode>
                <c:ptCount val="3"/>
                <c:pt idx="0">
                  <c:v>0</c:v>
                </c:pt>
                <c:pt idx="1">
                  <c:v>0.5</c:v>
                </c:pt>
                <c:pt idx="2">
                  <c:v>0.5</c:v>
                </c:pt>
              </c:numCache>
            </c:numRef>
          </c:val>
          <c:extLst>
            <c:ext xmlns:c16="http://schemas.microsoft.com/office/drawing/2014/chart" uri="{C3380CC4-5D6E-409C-BE32-E72D297353CC}">
              <c16:uniqueId val="{00000000-BE26-4D6D-BC6F-1BC8496BDDB2}"/>
            </c:ext>
          </c:extLst>
        </c:ser>
        <c:dLbls>
          <c:showLegendKey val="0"/>
          <c:showVal val="0"/>
          <c:showCatName val="0"/>
          <c:showSerName val="0"/>
          <c:showPercent val="0"/>
          <c:showBubbleSize val="0"/>
        </c:dLbls>
        <c:axId val="1621003328"/>
        <c:axId val="1"/>
      </c:radarChart>
      <c:catAx>
        <c:axId val="1621003328"/>
        <c:scaling>
          <c:orientation val="minMax"/>
        </c:scaling>
        <c:delete val="0"/>
        <c:axPos val="b"/>
        <c:majorGridlines/>
        <c:numFmt formatCode="General" sourceLinked="0"/>
        <c:majorTickMark val="out"/>
        <c:minorTickMark val="none"/>
        <c:tickLblPos val="nextTo"/>
        <c:txPr>
          <a:bodyPr rot="0" vert="horz"/>
          <a:lstStyle/>
          <a:p>
            <a:pPr>
              <a:defRPr sz="1100" b="0" i="0" u="none" strike="noStrike" baseline="0">
                <a:solidFill>
                  <a:srgbClr val="000000"/>
                </a:solidFill>
                <a:latin typeface="Arial"/>
                <a:ea typeface="Arial"/>
                <a:cs typeface="Arial"/>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900" b="0" i="0" u="none" strike="noStrike" baseline="0">
                <a:solidFill>
                  <a:srgbClr val="000000"/>
                </a:solidFill>
                <a:latin typeface="Arial"/>
                <a:ea typeface="Arial"/>
                <a:cs typeface="Arial"/>
              </a:defRPr>
            </a:pPr>
            <a:endParaRPr lang="es-CO"/>
          </a:p>
        </c:txPr>
        <c:crossAx val="1621003328"/>
        <c:crosses val="autoZero"/>
        <c:crossBetween val="between"/>
      </c:valAx>
    </c:plotArea>
    <c:plotVisOnly val="1"/>
    <c:dispBlanksAs val="gap"/>
    <c:showDLblsOverMax val="0"/>
  </c:chart>
  <c:spPr>
    <a:ln w="38100">
      <a:solidFill>
        <a:srgbClr val="C00000"/>
      </a:solidFill>
    </a:ln>
  </c:spPr>
  <c:txPr>
    <a:bodyPr/>
    <a:lstStyle/>
    <a:p>
      <a:pPr>
        <a:defRPr sz="1200" b="0" i="0" u="none" strike="noStrike" baseline="0">
          <a:solidFill>
            <a:srgbClr val="000000"/>
          </a:solidFill>
          <a:latin typeface="Arial"/>
          <a:ea typeface="Arial"/>
          <a:cs typeface="Arial"/>
        </a:defRPr>
      </a:pPr>
      <a:endParaRPr lang="es-CO"/>
    </a:p>
  </c:txPr>
  <c:printSettings>
    <c:headerFooter/>
    <c:pageMargins b="0.75000000000000078" l="0.70000000000000062" r="0.70000000000000062" t="0.75000000000000078" header="0.30000000000000032" footer="0.3000000000000003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1800" b="1" i="0" u="none" strike="noStrike" baseline="0">
                <a:solidFill>
                  <a:srgbClr val="000000"/>
                </a:solidFill>
                <a:latin typeface="Calibri"/>
                <a:ea typeface="Calibri"/>
                <a:cs typeface="Calibri"/>
              </a:defRPr>
            </a:pPr>
            <a:r>
              <a:rPr lang="es-CO"/>
              <a:t>RESUMEN ISO 27001:2022</a:t>
            </a:r>
          </a:p>
        </c:rich>
      </c:tx>
      <c:overlay val="0"/>
    </c:title>
    <c:autoTitleDeleted val="0"/>
    <c:plotArea>
      <c:layout/>
      <c:radarChart>
        <c:radarStyle val="marker"/>
        <c:varyColors val="0"/>
        <c:ser>
          <c:idx val="0"/>
          <c:order val="0"/>
          <c:marker>
            <c:symbol val="none"/>
          </c:marker>
          <c:cat>
            <c:strRef>
              <c:f>'RESUMEN CONSOLIDADO'!$F$4:$F$11</c:f>
              <c:strCache>
                <c:ptCount val="8"/>
                <c:pt idx="0">
                  <c:v>4.CONTEXTO DE LA ORGANIZACIÓN</c:v>
                </c:pt>
                <c:pt idx="1">
                  <c:v>5 LIDERAZGO</c:v>
                </c:pt>
                <c:pt idx="2">
                  <c:v>6 PLANIFICACIÓN PARA EL SISTEMA DE GESTIÓN DE LA CALIDAD</c:v>
                </c:pt>
                <c:pt idx="3">
                  <c:v>7 SOPORTE</c:v>
                </c:pt>
                <c:pt idx="4">
                  <c:v>8 .OPERACIÓN</c:v>
                </c:pt>
                <c:pt idx="5">
                  <c:v>9 EVALUACIÓN DEL DESEMPEÑO</c:v>
                </c:pt>
                <c:pt idx="6">
                  <c:v>10. MEJORA</c:v>
                </c:pt>
                <c:pt idx="7">
                  <c:v>CONTROLES ANEXO A</c:v>
                </c:pt>
              </c:strCache>
            </c:strRef>
          </c:cat>
          <c:val>
            <c:numRef>
              <c:f>'RESUMEN CONSOLIDADO'!$G$4:$G$11</c:f>
              <c:numCache>
                <c:formatCode>0%</c:formatCode>
                <c:ptCount val="8"/>
                <c:pt idx="0">
                  <c:v>0.32500000000000001</c:v>
                </c:pt>
                <c:pt idx="1">
                  <c:v>0.35813492063492064</c:v>
                </c:pt>
                <c:pt idx="2">
                  <c:v>0.29858104858104856</c:v>
                </c:pt>
                <c:pt idx="3">
                  <c:v>0.37</c:v>
                </c:pt>
                <c:pt idx="4">
                  <c:v>0.33333333333333331</c:v>
                </c:pt>
                <c:pt idx="5">
                  <c:v>8.3333333333333329E-2</c:v>
                </c:pt>
                <c:pt idx="6">
                  <c:v>0.5</c:v>
                </c:pt>
                <c:pt idx="7">
                  <c:v>0.18091358164887575</c:v>
                </c:pt>
              </c:numCache>
            </c:numRef>
          </c:val>
          <c:extLst>
            <c:ext xmlns:c16="http://schemas.microsoft.com/office/drawing/2014/chart" uri="{C3380CC4-5D6E-409C-BE32-E72D297353CC}">
              <c16:uniqueId val="{00000000-ED75-493C-8461-A9A75C5ED262}"/>
            </c:ext>
          </c:extLst>
        </c:ser>
        <c:dLbls>
          <c:showLegendKey val="0"/>
          <c:showVal val="0"/>
          <c:showCatName val="0"/>
          <c:showSerName val="0"/>
          <c:showPercent val="0"/>
          <c:showBubbleSize val="0"/>
        </c:dLbls>
        <c:axId val="1750166048"/>
        <c:axId val="1"/>
      </c:radarChart>
      <c:catAx>
        <c:axId val="1750166048"/>
        <c:scaling>
          <c:orientation val="minMax"/>
        </c:scaling>
        <c:delete val="0"/>
        <c:axPos val="b"/>
        <c:majorGridlines/>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750166048"/>
        <c:crosses val="autoZero"/>
        <c:crossBetween val="between"/>
      </c:valAx>
    </c:plotArea>
    <c:plotVisOnly val="1"/>
    <c:dispBlanksAs val="gap"/>
    <c:showDLblsOverMax val="0"/>
  </c:chart>
  <c:spPr>
    <a:ln w="38100">
      <a:solidFill>
        <a:srgbClr val="C00000"/>
      </a:solidFill>
    </a:ln>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78" l="0.70000000000000062" r="0.70000000000000062" t="0.75000000000000078" header="0.30000000000000032" footer="0.3000000000000003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1800" b="1" i="0" u="none" strike="noStrike" baseline="0">
                <a:solidFill>
                  <a:srgbClr val="000000"/>
                </a:solidFill>
                <a:latin typeface="Calibri"/>
                <a:ea typeface="Calibri"/>
                <a:cs typeface="Calibri"/>
              </a:defRPr>
            </a:pPr>
            <a:r>
              <a:rPr lang="es-CO" sz="1800"/>
              <a:t>9 EVALUACIÓN DEL DESEMPEÑO</a:t>
            </a:r>
          </a:p>
        </c:rich>
      </c:tx>
      <c:layout>
        <c:manualLayout>
          <c:xMode val="edge"/>
          <c:yMode val="edge"/>
          <c:x val="0.23239784657599616"/>
          <c:y val="5.8867130012568349E-3"/>
        </c:manualLayout>
      </c:layout>
      <c:overlay val="0"/>
    </c:title>
    <c:autoTitleDeleted val="0"/>
    <c:plotArea>
      <c:layout>
        <c:manualLayout>
          <c:layoutTarget val="inner"/>
          <c:xMode val="edge"/>
          <c:yMode val="edge"/>
          <c:x val="0.23905987882888444"/>
          <c:y val="0.31835099970089231"/>
          <c:w val="0.47402008483879277"/>
          <c:h val="0.6273477660394956"/>
        </c:manualLayout>
      </c:layout>
      <c:radarChart>
        <c:radarStyle val="marker"/>
        <c:varyColors val="0"/>
        <c:ser>
          <c:idx val="0"/>
          <c:order val="0"/>
          <c:marker>
            <c:symbol val="none"/>
          </c:marker>
          <c:cat>
            <c:strRef>
              <c:f>'9 EVALUACIÓN DESEMPEÑO'!$B$51:$B$53</c:f>
              <c:strCache>
                <c:ptCount val="3"/>
                <c:pt idx="0">
                  <c:v>9.1 MONITOREO, MEDICIÓN, ANALISIS Y EVALUACIÓN</c:v>
                </c:pt>
                <c:pt idx="1">
                  <c:v>9.2 AUDITORÍA INTERNA</c:v>
                </c:pt>
                <c:pt idx="2">
                  <c:v>9.3 REVISIÓN POR LA DIRECCIÓN</c:v>
                </c:pt>
              </c:strCache>
            </c:strRef>
          </c:cat>
          <c:val>
            <c:numRef>
              <c:f>'9 EVALUACIÓN DESEMPEÑO'!$C$51:$C$53</c:f>
              <c:numCache>
                <c:formatCode>0%</c:formatCode>
                <c:ptCount val="3"/>
                <c:pt idx="0">
                  <c:v>0</c:v>
                </c:pt>
                <c:pt idx="1">
                  <c:v>0.25</c:v>
                </c:pt>
                <c:pt idx="2">
                  <c:v>0</c:v>
                </c:pt>
              </c:numCache>
            </c:numRef>
          </c:val>
          <c:extLst>
            <c:ext xmlns:c16="http://schemas.microsoft.com/office/drawing/2014/chart" uri="{C3380CC4-5D6E-409C-BE32-E72D297353CC}">
              <c16:uniqueId val="{00000000-E2D4-4F44-8BF5-F6975C0989D7}"/>
            </c:ext>
          </c:extLst>
        </c:ser>
        <c:dLbls>
          <c:showLegendKey val="0"/>
          <c:showVal val="0"/>
          <c:showCatName val="0"/>
          <c:showSerName val="0"/>
          <c:showPercent val="0"/>
          <c:showBubbleSize val="0"/>
        </c:dLbls>
        <c:axId val="1626104960"/>
        <c:axId val="1"/>
      </c:radarChart>
      <c:catAx>
        <c:axId val="1626104960"/>
        <c:scaling>
          <c:orientation val="minMax"/>
        </c:scaling>
        <c:delete val="0"/>
        <c:axPos val="b"/>
        <c:majorGridlines/>
        <c:numFmt formatCode="General" sourceLinked="0"/>
        <c:majorTickMark val="out"/>
        <c:minorTickMark val="none"/>
        <c:tickLblPos val="nextTo"/>
        <c:txPr>
          <a:bodyPr rot="0" vert="horz"/>
          <a:lstStyle/>
          <a:p>
            <a:pPr>
              <a:defRPr sz="12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1200" b="0" i="0" u="none" strike="noStrike" baseline="0">
                <a:solidFill>
                  <a:srgbClr val="000000"/>
                </a:solidFill>
                <a:latin typeface="Calibri"/>
                <a:ea typeface="Calibri"/>
                <a:cs typeface="Calibri"/>
              </a:defRPr>
            </a:pPr>
            <a:endParaRPr lang="es-CO"/>
          </a:p>
        </c:txPr>
        <c:crossAx val="1626104960"/>
        <c:crosses val="autoZero"/>
        <c:crossBetween val="between"/>
      </c:valAx>
    </c:plotArea>
    <c:plotVisOnly val="1"/>
    <c:dispBlanksAs val="gap"/>
    <c:showDLblsOverMax val="0"/>
  </c:chart>
  <c:spPr>
    <a:ln w="38100">
      <a:solidFill>
        <a:srgbClr val="C00000"/>
      </a:solidFill>
    </a:ln>
  </c:spPr>
  <c:txPr>
    <a:bodyPr/>
    <a:lstStyle/>
    <a:p>
      <a:pPr>
        <a:defRPr sz="1400" b="0" i="0" u="none" strike="noStrike" baseline="0">
          <a:solidFill>
            <a:srgbClr val="000000"/>
          </a:solidFill>
          <a:latin typeface="Calibri"/>
          <a:ea typeface="Calibri"/>
          <a:cs typeface="Calibri"/>
        </a:defRPr>
      </a:pPr>
      <a:endParaRPr lang="es-CO"/>
    </a:p>
  </c:txPr>
  <c:printSettings>
    <c:headerFooter/>
    <c:pageMargins b="0.75000000000000078" l="0.70000000000000062" r="0.70000000000000062" t="0.75000000000000078" header="0.30000000000000032" footer="0.3000000000000003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1080" b="1" i="0" u="none" strike="noStrike" baseline="0">
                <a:solidFill>
                  <a:srgbClr val="000000"/>
                </a:solidFill>
                <a:latin typeface="Calibri"/>
                <a:ea typeface="Calibri"/>
                <a:cs typeface="Calibri"/>
              </a:defRPr>
            </a:pPr>
            <a:r>
              <a:rPr lang="es-CO"/>
              <a:t>10. MEJORA</a:t>
            </a:r>
          </a:p>
        </c:rich>
      </c:tx>
      <c:overlay val="0"/>
    </c:title>
    <c:autoTitleDeleted val="0"/>
    <c:plotArea>
      <c:layout>
        <c:manualLayout>
          <c:layoutTarget val="inner"/>
          <c:xMode val="edge"/>
          <c:yMode val="edge"/>
          <c:x val="0.23043624872469709"/>
          <c:y val="0.16695678882512208"/>
          <c:w val="0.58191020180479613"/>
          <c:h val="0.78959435737750194"/>
        </c:manualLayout>
      </c:layout>
      <c:radarChart>
        <c:radarStyle val="marker"/>
        <c:varyColors val="0"/>
        <c:ser>
          <c:idx val="0"/>
          <c:order val="0"/>
          <c:marker>
            <c:symbol val="none"/>
          </c:marker>
          <c:cat>
            <c:strRef>
              <c:f>'10 MEJORA'!$O$5:$O$7</c:f>
              <c:strCache>
                <c:ptCount val="3"/>
                <c:pt idx="0">
                  <c:v>10.1 NO CONFORMIDADES</c:v>
                </c:pt>
                <c:pt idx="1">
                  <c:v> Y ACCIONES CORRECTIVAS</c:v>
                </c:pt>
                <c:pt idx="2">
                  <c:v>10.1 MEJORA CONTINUA</c:v>
                </c:pt>
              </c:strCache>
            </c:strRef>
          </c:cat>
          <c:val>
            <c:numRef>
              <c:f>'10 MEJORA'!$P$5:$P$7</c:f>
              <c:numCache>
                <c:formatCode>0%</c:formatCode>
                <c:ptCount val="3"/>
                <c:pt idx="0">
                  <c:v>1</c:v>
                </c:pt>
                <c:pt idx="1">
                  <c:v>0</c:v>
                </c:pt>
                <c:pt idx="2">
                  <c:v>0</c:v>
                </c:pt>
              </c:numCache>
            </c:numRef>
          </c:val>
          <c:extLst>
            <c:ext xmlns:c16="http://schemas.microsoft.com/office/drawing/2014/chart" uri="{C3380CC4-5D6E-409C-BE32-E72D297353CC}">
              <c16:uniqueId val="{00000000-3473-4388-BD85-778702AD90A6}"/>
            </c:ext>
          </c:extLst>
        </c:ser>
        <c:dLbls>
          <c:showLegendKey val="0"/>
          <c:showVal val="0"/>
          <c:showCatName val="0"/>
          <c:showSerName val="0"/>
          <c:showPercent val="0"/>
          <c:showBubbleSize val="0"/>
        </c:dLbls>
        <c:axId val="1560186816"/>
        <c:axId val="1"/>
      </c:radarChart>
      <c:catAx>
        <c:axId val="1560186816"/>
        <c:scaling>
          <c:orientation val="minMax"/>
        </c:scaling>
        <c:delete val="0"/>
        <c:axPos val="b"/>
        <c:majorGridlines/>
        <c:numFmt formatCode="General" sourceLinked="0"/>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900" b="0" i="0" u="none" strike="noStrike" baseline="0">
                <a:solidFill>
                  <a:srgbClr val="000000"/>
                </a:solidFill>
                <a:latin typeface="Calibri"/>
                <a:ea typeface="Calibri"/>
                <a:cs typeface="Calibri"/>
              </a:defRPr>
            </a:pPr>
            <a:endParaRPr lang="es-CO"/>
          </a:p>
        </c:txPr>
        <c:crossAx val="1560186816"/>
        <c:crosses val="autoZero"/>
        <c:crossBetween val="between"/>
      </c:valAx>
    </c:plotArea>
    <c:plotVisOnly val="1"/>
    <c:dispBlanksAs val="gap"/>
    <c:showDLblsOverMax val="0"/>
  </c:chart>
  <c:spPr>
    <a:ln w="38100">
      <a:solidFill>
        <a:srgbClr val="C00000"/>
      </a:solidFill>
    </a:ln>
  </c:spPr>
  <c:txPr>
    <a:bodyPr/>
    <a:lstStyle/>
    <a:p>
      <a:pPr>
        <a:defRPr sz="900" b="0" i="0" u="none" strike="noStrike" baseline="0">
          <a:solidFill>
            <a:srgbClr val="000000"/>
          </a:solidFill>
          <a:latin typeface="Calibri"/>
          <a:ea typeface="Calibri"/>
          <a:cs typeface="Calibri"/>
        </a:defRPr>
      </a:pPr>
      <a:endParaRPr lang="es-CO"/>
    </a:p>
  </c:txPr>
  <c:printSettings>
    <c:headerFooter/>
    <c:pageMargins b="0.75000000000000078" l="0.70000000000000062" r="0.70000000000000062" t="0.75000000000000078" header="0.30000000000000032" footer="0.3000000000000003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CONTROLES</a:t>
            </a:r>
            <a:r>
              <a:rPr lang="es-CO" b="1" baseline="0"/>
              <a:t> ANEXO A</a:t>
            </a:r>
            <a:endParaRPr lang="es-CO"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31912889845785614"/>
          <c:y val="0.15376737069752172"/>
          <c:w val="0.63467553761527729"/>
          <c:h val="0.68304821667738558"/>
        </c:manualLayout>
      </c:layout>
      <c:barChart>
        <c:barDir val="bar"/>
        <c:grouping val="clustered"/>
        <c:varyColors val="0"/>
        <c:ser>
          <c:idx val="0"/>
          <c:order val="0"/>
          <c:tx>
            <c:strRef>
              <c:f>'Anexo A'!$D$108:$D$109</c:f>
              <c:strCache>
                <c:ptCount val="2"/>
                <c:pt idx="0">
                  <c:v>NIVEL DE IMPLEMENTACIÓN</c:v>
                </c:pt>
                <c:pt idx="1">
                  <c:v>NIVEL ACTUAL</c:v>
                </c:pt>
              </c:strCache>
            </c:strRef>
          </c:tx>
          <c:spPr>
            <a:solidFill>
              <a:schemeClr val="accent1"/>
            </a:solidFill>
            <a:ln>
              <a:noFill/>
            </a:ln>
            <a:effectLst/>
          </c:spPr>
          <c:invertIfNegative val="0"/>
          <c:dPt>
            <c:idx val="1"/>
            <c:invertIfNegative val="0"/>
            <c:bubble3D val="0"/>
            <c:spPr>
              <a:solidFill>
                <a:schemeClr val="accent1"/>
              </a:solidFill>
              <a:ln>
                <a:noFill/>
              </a:ln>
              <a:effectLst/>
            </c:spPr>
            <c:extLst>
              <c:ext xmlns:c16="http://schemas.microsoft.com/office/drawing/2014/chart" uri="{C3380CC4-5D6E-409C-BE32-E72D297353CC}">
                <c16:uniqueId val="{00000002-9E3A-4DD2-8B6E-A5149169C940}"/>
              </c:ext>
            </c:extLst>
          </c:dPt>
          <c:cat>
            <c:strRef>
              <c:f>'Anexo A'!$C$110:$C$114</c:f>
              <c:strCache>
                <c:ptCount val="5"/>
                <c:pt idx="0">
                  <c:v>5. CONTROLES ORGANIZACIONALES
(37)</c:v>
                </c:pt>
                <c:pt idx="1">
                  <c:v>6. CONTROLES DE PERSONAS
(8)</c:v>
                </c:pt>
                <c:pt idx="2">
                  <c:v>7. CONTROLES FISICOS
(14)</c:v>
                </c:pt>
                <c:pt idx="3">
                  <c:v>8. CONTROLES TECNOLÓGICOS
(34)</c:v>
                </c:pt>
                <c:pt idx="4">
                  <c:v>PROMEDIO</c:v>
                </c:pt>
              </c:strCache>
            </c:strRef>
          </c:cat>
          <c:val>
            <c:numRef>
              <c:f>'Anexo A'!$D$110:$D$114</c:f>
              <c:numCache>
                <c:formatCode>0%</c:formatCode>
                <c:ptCount val="5"/>
                <c:pt idx="0">
                  <c:v>0.10810810810810811</c:v>
                </c:pt>
                <c:pt idx="1">
                  <c:v>0.5</c:v>
                </c:pt>
                <c:pt idx="2">
                  <c:v>7.1428571428571425E-2</c:v>
                </c:pt>
                <c:pt idx="3">
                  <c:v>4.4117647058823532E-2</c:v>
                </c:pt>
                <c:pt idx="4">
                  <c:v>0.18091358164887575</c:v>
                </c:pt>
              </c:numCache>
            </c:numRef>
          </c:val>
          <c:extLst>
            <c:ext xmlns:c16="http://schemas.microsoft.com/office/drawing/2014/chart" uri="{C3380CC4-5D6E-409C-BE32-E72D297353CC}">
              <c16:uniqueId val="{00000000-9E3A-4DD2-8B6E-A5149169C940}"/>
            </c:ext>
          </c:extLst>
        </c:ser>
        <c:ser>
          <c:idx val="1"/>
          <c:order val="1"/>
          <c:tx>
            <c:strRef>
              <c:f>'Anexo A'!$E$108:$E$109</c:f>
              <c:strCache>
                <c:ptCount val="2"/>
                <c:pt idx="0">
                  <c:v>NIVEL DE IMPLEMENTACIÓN</c:v>
                </c:pt>
                <c:pt idx="1">
                  <c:v>NIVEL DESEADO</c:v>
                </c:pt>
              </c:strCache>
            </c:strRef>
          </c:tx>
          <c:spPr>
            <a:solidFill>
              <a:schemeClr val="accent2"/>
            </a:solidFill>
            <a:ln>
              <a:noFill/>
            </a:ln>
            <a:effectLst/>
          </c:spPr>
          <c:invertIfNegative val="0"/>
          <c:cat>
            <c:strRef>
              <c:f>'Anexo A'!$C$110:$C$114</c:f>
              <c:strCache>
                <c:ptCount val="5"/>
                <c:pt idx="0">
                  <c:v>5. CONTROLES ORGANIZACIONALES
(37)</c:v>
                </c:pt>
                <c:pt idx="1">
                  <c:v>6. CONTROLES DE PERSONAS
(8)</c:v>
                </c:pt>
                <c:pt idx="2">
                  <c:v>7. CONTROLES FISICOS
(14)</c:v>
                </c:pt>
                <c:pt idx="3">
                  <c:v>8. CONTROLES TECNOLÓGICOS
(34)</c:v>
                </c:pt>
                <c:pt idx="4">
                  <c:v>PROMEDIO</c:v>
                </c:pt>
              </c:strCache>
            </c:strRef>
          </c:cat>
          <c:val>
            <c:numRef>
              <c:f>'Anexo A'!$E$110:$E$114</c:f>
              <c:numCache>
                <c:formatCode>0%</c:formatCode>
                <c:ptCount val="5"/>
                <c:pt idx="0">
                  <c:v>1</c:v>
                </c:pt>
                <c:pt idx="1">
                  <c:v>1</c:v>
                </c:pt>
                <c:pt idx="2">
                  <c:v>1</c:v>
                </c:pt>
                <c:pt idx="3">
                  <c:v>1</c:v>
                </c:pt>
                <c:pt idx="4">
                  <c:v>1</c:v>
                </c:pt>
              </c:numCache>
            </c:numRef>
          </c:val>
          <c:extLst>
            <c:ext xmlns:c16="http://schemas.microsoft.com/office/drawing/2014/chart" uri="{C3380CC4-5D6E-409C-BE32-E72D297353CC}">
              <c16:uniqueId val="{00000001-9E3A-4DD2-8B6E-A5149169C940}"/>
            </c:ext>
          </c:extLst>
        </c:ser>
        <c:dLbls>
          <c:showLegendKey val="0"/>
          <c:showVal val="0"/>
          <c:showCatName val="0"/>
          <c:showSerName val="0"/>
          <c:showPercent val="0"/>
          <c:showBubbleSize val="0"/>
        </c:dLbls>
        <c:gapWidth val="182"/>
        <c:axId val="631901455"/>
        <c:axId val="631901935"/>
      </c:barChart>
      <c:catAx>
        <c:axId val="631901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631901935"/>
        <c:crosses val="autoZero"/>
        <c:auto val="1"/>
        <c:lblAlgn val="ctr"/>
        <c:lblOffset val="100"/>
        <c:noMultiLvlLbl val="0"/>
      </c:catAx>
      <c:valAx>
        <c:axId val="631901935"/>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6319014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700" b="0" i="0" u="none" strike="noStrike" baseline="0">
                <a:solidFill>
                  <a:srgbClr val="000000"/>
                </a:solidFill>
                <a:latin typeface="Arial"/>
                <a:ea typeface="Arial"/>
                <a:cs typeface="Arial"/>
              </a:defRPr>
            </a:pPr>
            <a:r>
              <a:rPr lang="es-CO" sz="900" b="1" i="0" u="none" strike="noStrike" baseline="0">
                <a:solidFill>
                  <a:srgbClr val="000000"/>
                </a:solidFill>
                <a:latin typeface="Arial"/>
                <a:cs typeface="Arial"/>
              </a:rPr>
              <a:t>4.CONTEXTO DE LA</a:t>
            </a:r>
          </a:p>
          <a:p>
            <a:pPr>
              <a:defRPr sz="700" b="0" i="0" u="none" strike="noStrike" baseline="0">
                <a:solidFill>
                  <a:srgbClr val="000000"/>
                </a:solidFill>
                <a:latin typeface="Arial"/>
                <a:ea typeface="Arial"/>
                <a:cs typeface="Arial"/>
              </a:defRPr>
            </a:pPr>
            <a:r>
              <a:rPr lang="es-CO" sz="900" b="1" i="0" u="none" strike="noStrike" baseline="0">
                <a:solidFill>
                  <a:srgbClr val="000000"/>
                </a:solidFill>
                <a:latin typeface="Arial"/>
                <a:cs typeface="Arial"/>
              </a:rPr>
              <a:t>ORGANIZACIÓN</a:t>
            </a:r>
          </a:p>
        </c:rich>
      </c:tx>
      <c:overlay val="0"/>
    </c:title>
    <c:autoTitleDeleted val="0"/>
    <c:plotArea>
      <c:layout/>
      <c:radarChart>
        <c:radarStyle val="marker"/>
        <c:varyColors val="0"/>
        <c:ser>
          <c:idx val="0"/>
          <c:order val="0"/>
          <c:marker>
            <c:symbol val="none"/>
          </c:marker>
          <c:cat>
            <c:strRef>
              <c:f>'4 CONTEXTO'!$B$27:$B$30</c:f>
              <c:strCache>
                <c:ptCount val="4"/>
                <c:pt idx="0">
                  <c:v>4.1 CONOCIMIENTO DE LA ORGANIZACIÓN Y DE SU CONTEXTO</c:v>
                </c:pt>
                <c:pt idx="1">
                  <c:v>4.2 COMPRENSIÓN DE LAS NECESIDADES Y EXPECTATIVAS DE LAS PARTES INTERESADAS</c:v>
                </c:pt>
                <c:pt idx="2">
                  <c:v>4.3 DETERMINACIÓN DEL ALCANCE DEL DE GESTIÓN DE LA SEGURIDAD DE LA INFORMACIÓN</c:v>
                </c:pt>
                <c:pt idx="3">
                  <c:v>4.4 SISTEMA DE GESTIÓN DE LA SEGURIDAD DE LA INFORMACIÓN</c:v>
                </c:pt>
              </c:strCache>
            </c:strRef>
          </c:cat>
          <c:val>
            <c:numRef>
              <c:f>'4 CONTEXTO'!$C$27:$C$30</c:f>
              <c:numCache>
                <c:formatCode>0%</c:formatCode>
                <c:ptCount val="4"/>
                <c:pt idx="0">
                  <c:v>0.5</c:v>
                </c:pt>
                <c:pt idx="1">
                  <c:v>0</c:v>
                </c:pt>
                <c:pt idx="2">
                  <c:v>0.3</c:v>
                </c:pt>
                <c:pt idx="3">
                  <c:v>0.5</c:v>
                </c:pt>
              </c:numCache>
            </c:numRef>
          </c:val>
          <c:extLst>
            <c:ext xmlns:c16="http://schemas.microsoft.com/office/drawing/2014/chart" uri="{C3380CC4-5D6E-409C-BE32-E72D297353CC}">
              <c16:uniqueId val="{00000000-BB1E-4B50-9921-C082398EF138}"/>
            </c:ext>
          </c:extLst>
        </c:ser>
        <c:dLbls>
          <c:showLegendKey val="0"/>
          <c:showVal val="0"/>
          <c:showCatName val="0"/>
          <c:showSerName val="0"/>
          <c:showPercent val="0"/>
          <c:showBubbleSize val="0"/>
        </c:dLbls>
        <c:axId val="1621761024"/>
        <c:axId val="1"/>
      </c:radarChart>
      <c:catAx>
        <c:axId val="1621761024"/>
        <c:scaling>
          <c:orientation val="minMax"/>
        </c:scaling>
        <c:delete val="0"/>
        <c:axPos val="b"/>
        <c:majorGridlines/>
        <c:numFmt formatCode="General" sourceLinked="0"/>
        <c:majorTickMark val="out"/>
        <c:minorTickMark val="none"/>
        <c:tickLblPos val="nextTo"/>
        <c:txPr>
          <a:bodyPr rot="0" vert="horz"/>
          <a:lstStyle/>
          <a:p>
            <a:pPr>
              <a:defRPr sz="700" b="0" i="0" u="none" strike="noStrike" baseline="0">
                <a:solidFill>
                  <a:srgbClr val="000000"/>
                </a:solidFill>
                <a:latin typeface="Arial"/>
                <a:ea typeface="Arial"/>
                <a:cs typeface="Arial"/>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700" b="0" i="0" u="none" strike="noStrike" baseline="0">
                <a:solidFill>
                  <a:srgbClr val="000000"/>
                </a:solidFill>
                <a:latin typeface="Arial"/>
                <a:ea typeface="Arial"/>
                <a:cs typeface="Arial"/>
              </a:defRPr>
            </a:pPr>
            <a:endParaRPr lang="es-CO"/>
          </a:p>
        </c:txPr>
        <c:crossAx val="1621761024"/>
        <c:crosses val="autoZero"/>
        <c:crossBetween val="between"/>
      </c:valAx>
    </c:plotArea>
    <c:plotVisOnly val="1"/>
    <c:dispBlanksAs val="gap"/>
    <c:showDLblsOverMax val="0"/>
  </c:chart>
  <c:txPr>
    <a:bodyPr/>
    <a:lstStyle/>
    <a:p>
      <a:pPr>
        <a:defRPr sz="700" b="0" i="0" u="none" strike="noStrike" baseline="0">
          <a:solidFill>
            <a:srgbClr val="000000"/>
          </a:solidFill>
          <a:latin typeface="Arial"/>
          <a:ea typeface="Arial"/>
          <a:cs typeface="Arial"/>
        </a:defRPr>
      </a:pPr>
      <a:endParaRPr lang="es-CO"/>
    </a:p>
  </c:txPr>
  <c:printSettings>
    <c:headerFooter/>
    <c:pageMargins b="0.75000000000000133" l="0.70000000000000062" r="0.70000000000000062" t="0.75000000000000133"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1000" b="1" i="0" u="none" strike="noStrike" baseline="0">
                <a:solidFill>
                  <a:srgbClr val="000000"/>
                </a:solidFill>
                <a:latin typeface="Arial"/>
                <a:ea typeface="Arial"/>
                <a:cs typeface="Arial"/>
              </a:defRPr>
            </a:pPr>
            <a:r>
              <a:rPr lang="es-CO"/>
              <a:t>5.LIDERAZGO</a:t>
            </a:r>
          </a:p>
        </c:rich>
      </c:tx>
      <c:overlay val="0"/>
    </c:title>
    <c:autoTitleDeleted val="0"/>
    <c:plotArea>
      <c:layout/>
      <c:radarChart>
        <c:radarStyle val="marker"/>
        <c:varyColors val="0"/>
        <c:ser>
          <c:idx val="0"/>
          <c:order val="0"/>
          <c:cat>
            <c:strRef>
              <c:f>'5 LIDERAZGO'!$B$34:$B$36</c:f>
              <c:strCache>
                <c:ptCount val="3"/>
                <c:pt idx="0">
                  <c:v>5.1 LIDERAZGO Y COMPROMISO</c:v>
                </c:pt>
                <c:pt idx="1">
                  <c:v>5.2 POLÍTICA</c:v>
                </c:pt>
                <c:pt idx="2">
                  <c:v>5.3 ROLES, RESPONSABILIDADES Y AUTORIDADES EN LA ORGANIZACIÓN</c:v>
                </c:pt>
              </c:strCache>
            </c:strRef>
          </c:cat>
          <c:val>
            <c:numRef>
              <c:f>'5 LIDERAZGO'!$C$34:$C$36</c:f>
              <c:numCache>
                <c:formatCode>0%</c:formatCode>
                <c:ptCount val="3"/>
                <c:pt idx="0">
                  <c:v>0.3125</c:v>
                </c:pt>
                <c:pt idx="1">
                  <c:v>0.42857142857142855</c:v>
                </c:pt>
                <c:pt idx="2">
                  <c:v>0.33333333333333331</c:v>
                </c:pt>
              </c:numCache>
            </c:numRef>
          </c:val>
          <c:extLst>
            <c:ext xmlns:c16="http://schemas.microsoft.com/office/drawing/2014/chart" uri="{C3380CC4-5D6E-409C-BE32-E72D297353CC}">
              <c16:uniqueId val="{00000000-68DF-4186-BCCF-C7DAB5A3AA34}"/>
            </c:ext>
          </c:extLst>
        </c:ser>
        <c:dLbls>
          <c:showLegendKey val="0"/>
          <c:showVal val="0"/>
          <c:showCatName val="0"/>
          <c:showSerName val="0"/>
          <c:showPercent val="0"/>
          <c:showBubbleSize val="0"/>
        </c:dLbls>
        <c:axId val="1621758144"/>
        <c:axId val="1"/>
      </c:radarChart>
      <c:catAx>
        <c:axId val="1621758144"/>
        <c:scaling>
          <c:orientation val="minMax"/>
        </c:scaling>
        <c:delete val="0"/>
        <c:axPos val="b"/>
        <c:majorGridlines/>
        <c:numFmt formatCode="General" sourceLinked="0"/>
        <c:majorTickMark val="out"/>
        <c:minorTickMark val="none"/>
        <c:tickLblPos val="nextTo"/>
        <c:txPr>
          <a:bodyPr rot="0" vert="horz"/>
          <a:lstStyle/>
          <a:p>
            <a:pPr>
              <a:defRPr sz="700" b="0" i="0" u="none" strike="noStrike" baseline="0">
                <a:solidFill>
                  <a:srgbClr val="000000"/>
                </a:solidFill>
                <a:latin typeface="Arial"/>
                <a:ea typeface="Arial"/>
                <a:cs typeface="Arial"/>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700" b="0" i="0" u="none" strike="noStrike" baseline="0">
                <a:solidFill>
                  <a:srgbClr val="000000"/>
                </a:solidFill>
                <a:latin typeface="Arial"/>
                <a:ea typeface="Arial"/>
                <a:cs typeface="Arial"/>
              </a:defRPr>
            </a:pPr>
            <a:endParaRPr lang="es-CO"/>
          </a:p>
        </c:txPr>
        <c:crossAx val="1621758144"/>
        <c:crosses val="autoZero"/>
        <c:crossBetween val="between"/>
      </c:valAx>
    </c:plotArea>
    <c:plotVisOnly val="1"/>
    <c:dispBlanksAs val="gap"/>
    <c:showDLblsOverMax val="0"/>
  </c:chart>
  <c:txPr>
    <a:bodyPr/>
    <a:lstStyle/>
    <a:p>
      <a:pPr>
        <a:defRPr sz="700" b="0" i="0" u="none" strike="noStrike" baseline="0">
          <a:solidFill>
            <a:srgbClr val="000000"/>
          </a:solidFill>
          <a:latin typeface="Arial"/>
          <a:ea typeface="Arial"/>
          <a:cs typeface="Arial"/>
        </a:defRPr>
      </a:pPr>
      <a:endParaRPr lang="es-CO"/>
    </a:p>
  </c:txPr>
  <c:printSettings>
    <c:headerFooter/>
    <c:pageMargins b="0.75000000000000133" l="0.70000000000000062" r="0.70000000000000062" t="0.75000000000000133" header="0.30000000000000032" footer="0.30000000000000032"/>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800" b="0" i="0" u="none" strike="noStrike" baseline="0">
                <a:solidFill>
                  <a:srgbClr val="000000"/>
                </a:solidFill>
                <a:latin typeface="Calibri"/>
                <a:ea typeface="Calibri"/>
                <a:cs typeface="Calibri"/>
              </a:defRPr>
            </a:pPr>
            <a:r>
              <a:rPr lang="es-CO" sz="960" b="1" i="0" u="none" strike="noStrike" baseline="0">
                <a:solidFill>
                  <a:srgbClr val="000000"/>
                </a:solidFill>
                <a:latin typeface="Arial"/>
                <a:cs typeface="Arial"/>
              </a:rPr>
              <a:t>6.PLANIFICACIÓN  PARA EL SISTEMA DE</a:t>
            </a:r>
          </a:p>
          <a:p>
            <a:pPr>
              <a:defRPr sz="800" b="0" i="0" u="none" strike="noStrike" baseline="0">
                <a:solidFill>
                  <a:srgbClr val="000000"/>
                </a:solidFill>
                <a:latin typeface="Calibri"/>
                <a:ea typeface="Calibri"/>
                <a:cs typeface="Calibri"/>
              </a:defRPr>
            </a:pPr>
            <a:r>
              <a:rPr lang="es-CO" sz="960" b="1" i="0" u="none" strike="noStrike" baseline="0">
                <a:solidFill>
                  <a:srgbClr val="000000"/>
                </a:solidFill>
                <a:latin typeface="Arial"/>
                <a:cs typeface="Arial"/>
              </a:rPr>
              <a:t> GESTIÓN DE LA CALIDAD</a:t>
            </a:r>
          </a:p>
        </c:rich>
      </c:tx>
      <c:overlay val="0"/>
    </c:title>
    <c:autoTitleDeleted val="0"/>
    <c:plotArea>
      <c:layout/>
      <c:radarChart>
        <c:radarStyle val="marker"/>
        <c:varyColors val="0"/>
        <c:ser>
          <c:idx val="0"/>
          <c:order val="0"/>
          <c:marker>
            <c:symbol val="none"/>
          </c:marker>
          <c:cat>
            <c:strRef>
              <c:f>'6 PLANIFICACIÓN'!$B$55:$B$57</c:f>
              <c:strCache>
                <c:ptCount val="3"/>
                <c:pt idx="0">
                  <c:v>6.1 ACCIONES PARA ABORDAR RIESGOS Y OPORTUNIDADES</c:v>
                </c:pt>
                <c:pt idx="1">
                  <c:v>6.2 OBJETIVOS DE SEGURIDAD DE LA INFORMACIÓN Y LA PLANIFICACIÓN PARA ALCANZARLOS</c:v>
                </c:pt>
                <c:pt idx="2">
                  <c:v>6.3. PLANIFICACIÓN DE CAMBIOS</c:v>
                </c:pt>
              </c:strCache>
            </c:strRef>
          </c:cat>
          <c:val>
            <c:numRef>
              <c:f>'6 PLANIFICACIÓN'!$C$55:$C$57</c:f>
              <c:numCache>
                <c:formatCode>0%</c:formatCode>
                <c:ptCount val="3"/>
                <c:pt idx="0">
                  <c:v>0.12301587301587302</c:v>
                </c:pt>
                <c:pt idx="1">
                  <c:v>0.27272727272727271</c:v>
                </c:pt>
                <c:pt idx="2">
                  <c:v>0.5</c:v>
                </c:pt>
              </c:numCache>
            </c:numRef>
          </c:val>
          <c:extLst>
            <c:ext xmlns:c16="http://schemas.microsoft.com/office/drawing/2014/chart" uri="{C3380CC4-5D6E-409C-BE32-E72D297353CC}">
              <c16:uniqueId val="{00000000-4E6D-420B-8A19-98B3ECB5714F}"/>
            </c:ext>
          </c:extLst>
        </c:ser>
        <c:dLbls>
          <c:showLegendKey val="0"/>
          <c:showVal val="0"/>
          <c:showCatName val="0"/>
          <c:showSerName val="0"/>
          <c:showPercent val="0"/>
          <c:showBubbleSize val="0"/>
        </c:dLbls>
        <c:axId val="948001280"/>
        <c:axId val="1"/>
      </c:radarChart>
      <c:catAx>
        <c:axId val="948001280"/>
        <c:scaling>
          <c:orientation val="minMax"/>
        </c:scaling>
        <c:delete val="0"/>
        <c:axPos val="b"/>
        <c:majorGridlines/>
        <c:numFmt formatCode="General" sourceLinked="0"/>
        <c:majorTickMark val="out"/>
        <c:minorTickMark val="none"/>
        <c:tickLblPos val="nextTo"/>
        <c:txPr>
          <a:bodyPr rot="0" vert="horz"/>
          <a:lstStyle/>
          <a:p>
            <a:pPr>
              <a:defRPr sz="7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800" b="0" i="0" u="none" strike="noStrike" baseline="0">
                <a:solidFill>
                  <a:srgbClr val="000000"/>
                </a:solidFill>
                <a:latin typeface="Calibri"/>
                <a:ea typeface="Calibri"/>
                <a:cs typeface="Calibri"/>
              </a:defRPr>
            </a:pPr>
            <a:endParaRPr lang="es-CO"/>
          </a:p>
        </c:txPr>
        <c:crossAx val="948001280"/>
        <c:crosses val="autoZero"/>
        <c:crossBetween val="between"/>
      </c:valAx>
    </c:plotArea>
    <c:plotVisOnly val="1"/>
    <c:dispBlanksAs val="gap"/>
    <c:showDLblsOverMax val="0"/>
  </c:chart>
  <c:txPr>
    <a:bodyPr/>
    <a:lstStyle/>
    <a:p>
      <a:pPr>
        <a:defRPr sz="8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960" b="1" i="0" u="none" strike="noStrike" baseline="0">
                <a:solidFill>
                  <a:srgbClr val="000000"/>
                </a:solidFill>
                <a:latin typeface="Arial"/>
                <a:ea typeface="Arial"/>
                <a:cs typeface="Arial"/>
              </a:defRPr>
            </a:pPr>
            <a:r>
              <a:rPr lang="es-CO"/>
              <a:t>7. SOPORTE</a:t>
            </a:r>
          </a:p>
        </c:rich>
      </c:tx>
      <c:overlay val="0"/>
    </c:title>
    <c:autoTitleDeleted val="0"/>
    <c:plotArea>
      <c:layout/>
      <c:radarChart>
        <c:radarStyle val="marker"/>
        <c:varyColors val="0"/>
        <c:ser>
          <c:idx val="1"/>
          <c:order val="0"/>
          <c:marker>
            <c:spPr>
              <a:solidFill>
                <a:schemeClr val="accent2"/>
              </a:solidFill>
            </c:spPr>
          </c:marker>
          <c:cat>
            <c:strRef>
              <c:f>'7 SOPORTE'!$B$58:$B$62</c:f>
              <c:strCache>
                <c:ptCount val="5"/>
                <c:pt idx="0">
                  <c:v>7.1 RECURSOS</c:v>
                </c:pt>
                <c:pt idx="1">
                  <c:v>7.2 COMPETENCIA</c:v>
                </c:pt>
                <c:pt idx="2">
                  <c:v>7.3 TOMA DE CONCIENCIA</c:v>
                </c:pt>
                <c:pt idx="3">
                  <c:v>7.4 COMUNICACIÓN</c:v>
                </c:pt>
                <c:pt idx="4">
                  <c:v>7.5 INFORMACIÓN DOCUMENTADA</c:v>
                </c:pt>
              </c:strCache>
            </c:strRef>
          </c:cat>
          <c:val>
            <c:numRef>
              <c:f>'7 SOPORTE'!$C$58:$C$62</c:f>
              <c:numCache>
                <c:formatCode>0%</c:formatCode>
                <c:ptCount val="5"/>
                <c:pt idx="0">
                  <c:v>0</c:v>
                </c:pt>
                <c:pt idx="1">
                  <c:v>0.5</c:v>
                </c:pt>
                <c:pt idx="2">
                  <c:v>0</c:v>
                </c:pt>
                <c:pt idx="3">
                  <c:v>0.5</c:v>
                </c:pt>
                <c:pt idx="4">
                  <c:v>0.83333333333333337</c:v>
                </c:pt>
              </c:numCache>
            </c:numRef>
          </c:val>
          <c:extLst>
            <c:ext xmlns:c16="http://schemas.microsoft.com/office/drawing/2014/chart" uri="{C3380CC4-5D6E-409C-BE32-E72D297353CC}">
              <c16:uniqueId val="{00000000-1825-42A5-AA3C-994761391085}"/>
            </c:ext>
          </c:extLst>
        </c:ser>
        <c:dLbls>
          <c:showLegendKey val="0"/>
          <c:showVal val="0"/>
          <c:showCatName val="0"/>
          <c:showSerName val="0"/>
          <c:showPercent val="0"/>
          <c:showBubbleSize val="0"/>
        </c:dLbls>
        <c:axId val="1756926448"/>
        <c:axId val="1"/>
      </c:radarChart>
      <c:catAx>
        <c:axId val="1756926448"/>
        <c:scaling>
          <c:orientation val="minMax"/>
        </c:scaling>
        <c:delete val="0"/>
        <c:axPos val="b"/>
        <c:majorGridlines/>
        <c:numFmt formatCode="General" sourceLinked="0"/>
        <c:majorTickMark val="out"/>
        <c:minorTickMark val="none"/>
        <c:tickLblPos val="nextTo"/>
        <c:txPr>
          <a:bodyPr rot="0" vert="horz"/>
          <a:lstStyle/>
          <a:p>
            <a:pPr>
              <a:defRPr sz="8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800" b="0" i="0" u="none" strike="noStrike" baseline="0">
                <a:solidFill>
                  <a:srgbClr val="000000"/>
                </a:solidFill>
                <a:latin typeface="Calibri"/>
                <a:ea typeface="Calibri"/>
                <a:cs typeface="Calibri"/>
              </a:defRPr>
            </a:pPr>
            <a:endParaRPr lang="es-CO"/>
          </a:p>
        </c:txPr>
        <c:crossAx val="1756926448"/>
        <c:crosses val="autoZero"/>
        <c:crossBetween val="between"/>
      </c:valAx>
    </c:plotArea>
    <c:plotVisOnly val="1"/>
    <c:dispBlanksAs val="gap"/>
    <c:showDLblsOverMax val="0"/>
  </c:chart>
  <c:txPr>
    <a:bodyPr/>
    <a:lstStyle/>
    <a:p>
      <a:pPr>
        <a:defRPr sz="800" b="0" i="0" u="none" strike="noStrike" baseline="0">
          <a:solidFill>
            <a:srgbClr val="000000"/>
          </a:solidFill>
          <a:latin typeface="Calibri"/>
          <a:ea typeface="Calibri"/>
          <a:cs typeface="Calibri"/>
        </a:defRPr>
      </a:pPr>
      <a:endParaRPr lang="es-CO"/>
    </a:p>
  </c:txPr>
  <c:printSettings>
    <c:headerFooter/>
    <c:pageMargins b="0.75000000000000133" l="0.70000000000000062" r="0.70000000000000062" t="0.75000000000000133" header="0.30000000000000032" footer="0.30000000000000032"/>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960" b="1" i="0" u="none" strike="noStrike" baseline="0">
                <a:solidFill>
                  <a:srgbClr val="000000"/>
                </a:solidFill>
                <a:latin typeface="Arial"/>
                <a:ea typeface="Arial"/>
                <a:cs typeface="Arial"/>
              </a:defRPr>
            </a:pPr>
            <a:r>
              <a:rPr lang="es-CO"/>
              <a:t>8.OPERACIÓN</a:t>
            </a:r>
          </a:p>
        </c:rich>
      </c:tx>
      <c:overlay val="0"/>
    </c:title>
    <c:autoTitleDeleted val="0"/>
    <c:plotArea>
      <c:layout/>
      <c:radarChart>
        <c:radarStyle val="marker"/>
        <c:varyColors val="0"/>
        <c:ser>
          <c:idx val="0"/>
          <c:order val="0"/>
          <c:marker>
            <c:symbol val="none"/>
          </c:marker>
          <c:cat>
            <c:strRef>
              <c:f>'8 OPERACIÓN'!$B$22:$B$24</c:f>
              <c:strCache>
                <c:ptCount val="3"/>
                <c:pt idx="0">
                  <c:v>8.1 PLANIFICACIÓN Y CONTROL OPERACIONAL</c:v>
                </c:pt>
                <c:pt idx="1">
                  <c:v>8.2 VALORACIÓN DE RIESGOS DE LA SEGURIDAD DE LA INFORMACIÓN</c:v>
                </c:pt>
                <c:pt idx="2">
                  <c:v>8.3 TRATAMIENTO DE RIESGOS DE LA SEGURIDAD DE LA INFORMACIÓN</c:v>
                </c:pt>
              </c:strCache>
            </c:strRef>
          </c:cat>
          <c:val>
            <c:numRef>
              <c:f>'8 OPERACIÓN'!$C$22:$C$24</c:f>
              <c:numCache>
                <c:formatCode>0%</c:formatCode>
                <c:ptCount val="3"/>
                <c:pt idx="0">
                  <c:v>0</c:v>
                </c:pt>
                <c:pt idx="1">
                  <c:v>0.5</c:v>
                </c:pt>
                <c:pt idx="2">
                  <c:v>0.5</c:v>
                </c:pt>
              </c:numCache>
            </c:numRef>
          </c:val>
          <c:extLst>
            <c:ext xmlns:c16="http://schemas.microsoft.com/office/drawing/2014/chart" uri="{C3380CC4-5D6E-409C-BE32-E72D297353CC}">
              <c16:uniqueId val="{00000000-3088-4BE8-84C3-1167587A98E9}"/>
            </c:ext>
          </c:extLst>
        </c:ser>
        <c:dLbls>
          <c:showLegendKey val="0"/>
          <c:showVal val="0"/>
          <c:showCatName val="0"/>
          <c:showSerName val="0"/>
          <c:showPercent val="0"/>
          <c:showBubbleSize val="0"/>
        </c:dLbls>
        <c:axId val="1756921168"/>
        <c:axId val="1"/>
      </c:radarChart>
      <c:catAx>
        <c:axId val="1756921168"/>
        <c:scaling>
          <c:orientation val="minMax"/>
        </c:scaling>
        <c:delete val="0"/>
        <c:axPos val="b"/>
        <c:majorGridlines/>
        <c:numFmt formatCode="General" sourceLinked="0"/>
        <c:majorTickMark val="out"/>
        <c:minorTickMark val="none"/>
        <c:tickLblPos val="nextTo"/>
        <c:txPr>
          <a:bodyPr rot="0" vert="horz"/>
          <a:lstStyle/>
          <a:p>
            <a:pPr>
              <a:defRPr sz="8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800" b="0" i="0" u="none" strike="noStrike" baseline="0">
                <a:solidFill>
                  <a:srgbClr val="000000"/>
                </a:solidFill>
                <a:latin typeface="Calibri"/>
                <a:ea typeface="Calibri"/>
                <a:cs typeface="Calibri"/>
              </a:defRPr>
            </a:pPr>
            <a:endParaRPr lang="es-CO"/>
          </a:p>
        </c:txPr>
        <c:crossAx val="1756921168"/>
        <c:crosses val="autoZero"/>
        <c:crossBetween val="between"/>
      </c:valAx>
    </c:plotArea>
    <c:plotVisOnly val="1"/>
    <c:dispBlanksAs val="gap"/>
    <c:showDLblsOverMax val="0"/>
  </c:chart>
  <c:txPr>
    <a:bodyPr/>
    <a:lstStyle/>
    <a:p>
      <a:pPr>
        <a:defRPr sz="800" b="0" i="0" u="none" strike="noStrike" baseline="0">
          <a:solidFill>
            <a:srgbClr val="000000"/>
          </a:solidFill>
          <a:latin typeface="Calibri"/>
          <a:ea typeface="Calibri"/>
          <a:cs typeface="Calibri"/>
        </a:defRPr>
      </a:pPr>
      <a:endParaRPr lang="es-CO"/>
    </a:p>
  </c:txPr>
  <c:printSettings>
    <c:headerFooter/>
    <c:pageMargins b="0.750000000000001" l="0.70000000000000062" r="0.70000000000000062" t="0.750000000000001" header="0.30000000000000032" footer="0.30000000000000032"/>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800" b="0" i="0" u="none" strike="noStrike" baseline="0">
                <a:solidFill>
                  <a:srgbClr val="000000"/>
                </a:solidFill>
                <a:latin typeface="Calibri"/>
                <a:ea typeface="Calibri"/>
                <a:cs typeface="Calibri"/>
              </a:defRPr>
            </a:pPr>
            <a:r>
              <a:rPr lang="es-CO" sz="960" b="1" i="0" u="none" strike="noStrike" baseline="0">
                <a:solidFill>
                  <a:srgbClr val="000000"/>
                </a:solidFill>
                <a:latin typeface="Arial"/>
                <a:cs typeface="Arial"/>
              </a:rPr>
              <a:t>9.EVALUACIÓN</a:t>
            </a:r>
          </a:p>
          <a:p>
            <a:pPr>
              <a:defRPr sz="800" b="0" i="0" u="none" strike="noStrike" baseline="0">
                <a:solidFill>
                  <a:srgbClr val="000000"/>
                </a:solidFill>
                <a:latin typeface="Calibri"/>
                <a:ea typeface="Calibri"/>
                <a:cs typeface="Calibri"/>
              </a:defRPr>
            </a:pPr>
            <a:r>
              <a:rPr lang="es-CO" sz="960" b="1" i="0" u="none" strike="noStrike" baseline="0">
                <a:solidFill>
                  <a:srgbClr val="000000"/>
                </a:solidFill>
                <a:latin typeface="Arial"/>
                <a:cs typeface="Arial"/>
              </a:rPr>
              <a:t>DE DESEMPEÑO</a:t>
            </a:r>
          </a:p>
        </c:rich>
      </c:tx>
      <c:layout>
        <c:manualLayout>
          <c:xMode val="edge"/>
          <c:yMode val="edge"/>
          <c:x val="0.14589035525488891"/>
          <c:y val="2.7280592071913759E-2"/>
        </c:manualLayout>
      </c:layout>
      <c:overlay val="0"/>
    </c:title>
    <c:autoTitleDeleted val="0"/>
    <c:plotArea>
      <c:layout/>
      <c:radarChart>
        <c:radarStyle val="marker"/>
        <c:varyColors val="0"/>
        <c:ser>
          <c:idx val="0"/>
          <c:order val="0"/>
          <c:marker>
            <c:symbol val="none"/>
          </c:marker>
          <c:cat>
            <c:strRef>
              <c:f>'9 EVALUACIÓN DESEMPEÑO'!$B$51:$B$53</c:f>
              <c:strCache>
                <c:ptCount val="3"/>
                <c:pt idx="0">
                  <c:v>9.1 MONITOREO, MEDICIÓN, ANALISIS Y EVALUACIÓN</c:v>
                </c:pt>
                <c:pt idx="1">
                  <c:v>9.2 AUDITORÍA INTERNA</c:v>
                </c:pt>
                <c:pt idx="2">
                  <c:v>9.3 REVISIÓN POR LA DIRECCIÓN</c:v>
                </c:pt>
              </c:strCache>
            </c:strRef>
          </c:cat>
          <c:val>
            <c:numRef>
              <c:f>'9 EVALUACIÓN DESEMPEÑO'!$C$51:$C$53</c:f>
              <c:numCache>
                <c:formatCode>0%</c:formatCode>
                <c:ptCount val="3"/>
                <c:pt idx="0">
                  <c:v>0</c:v>
                </c:pt>
                <c:pt idx="1">
                  <c:v>0.25</c:v>
                </c:pt>
                <c:pt idx="2">
                  <c:v>0</c:v>
                </c:pt>
              </c:numCache>
            </c:numRef>
          </c:val>
          <c:extLst>
            <c:ext xmlns:c16="http://schemas.microsoft.com/office/drawing/2014/chart" uri="{C3380CC4-5D6E-409C-BE32-E72D297353CC}">
              <c16:uniqueId val="{00000000-4BBC-41CC-9486-5A2EB61A4A6B}"/>
            </c:ext>
          </c:extLst>
        </c:ser>
        <c:dLbls>
          <c:showLegendKey val="0"/>
          <c:showVal val="0"/>
          <c:showCatName val="0"/>
          <c:showSerName val="0"/>
          <c:showPercent val="0"/>
          <c:showBubbleSize val="0"/>
        </c:dLbls>
        <c:axId val="1756920208"/>
        <c:axId val="1"/>
      </c:radarChart>
      <c:catAx>
        <c:axId val="1756920208"/>
        <c:scaling>
          <c:orientation val="minMax"/>
        </c:scaling>
        <c:delete val="0"/>
        <c:axPos val="b"/>
        <c:majorGridlines/>
        <c:numFmt formatCode="General" sourceLinked="0"/>
        <c:majorTickMark val="out"/>
        <c:minorTickMark val="none"/>
        <c:tickLblPos val="nextTo"/>
        <c:txPr>
          <a:bodyPr rot="0" vert="horz"/>
          <a:lstStyle/>
          <a:p>
            <a:pPr>
              <a:defRPr sz="8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800" b="0" i="0" u="none" strike="noStrike" baseline="0">
                <a:solidFill>
                  <a:srgbClr val="000000"/>
                </a:solidFill>
                <a:latin typeface="Calibri"/>
                <a:ea typeface="Calibri"/>
                <a:cs typeface="Calibri"/>
              </a:defRPr>
            </a:pPr>
            <a:endParaRPr lang="es-CO"/>
          </a:p>
        </c:txPr>
        <c:crossAx val="1756920208"/>
        <c:crosses val="autoZero"/>
        <c:crossBetween val="between"/>
      </c:valAx>
    </c:plotArea>
    <c:plotVisOnly val="1"/>
    <c:dispBlanksAs val="gap"/>
    <c:showDLblsOverMax val="0"/>
  </c:chart>
  <c:txPr>
    <a:bodyPr/>
    <a:lstStyle/>
    <a:p>
      <a:pPr>
        <a:defRPr sz="800" b="0" i="0" u="none" strike="noStrike" baseline="0">
          <a:solidFill>
            <a:srgbClr val="000000"/>
          </a:solidFill>
          <a:latin typeface="Calibri"/>
          <a:ea typeface="Calibri"/>
          <a:cs typeface="Calibri"/>
        </a:defRPr>
      </a:pPr>
      <a:endParaRPr lang="es-CO"/>
    </a:p>
  </c:txPr>
  <c:printSettings>
    <c:headerFooter/>
    <c:pageMargins b="0.750000000000001" l="0.70000000000000062" r="0.70000000000000062" t="0.750000000000001" header="0.30000000000000032" footer="0.30000000000000032"/>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840" b="1" i="0" u="none" strike="noStrike" baseline="0">
                <a:solidFill>
                  <a:srgbClr val="000000"/>
                </a:solidFill>
                <a:latin typeface="Arial"/>
                <a:ea typeface="Arial"/>
                <a:cs typeface="Arial"/>
              </a:defRPr>
            </a:pPr>
            <a:r>
              <a:rPr lang="es-CO"/>
              <a:t>10.MEJORA</a:t>
            </a:r>
          </a:p>
        </c:rich>
      </c:tx>
      <c:overlay val="0"/>
    </c:title>
    <c:autoTitleDeleted val="0"/>
    <c:plotArea>
      <c:layout>
        <c:manualLayout>
          <c:layoutTarget val="inner"/>
          <c:xMode val="edge"/>
          <c:yMode val="edge"/>
          <c:x val="0.28327893293134937"/>
          <c:y val="0.18458802968923674"/>
          <c:w val="0.396445925581354"/>
          <c:h val="0.74227282957165563"/>
        </c:manualLayout>
      </c:layout>
      <c:radarChart>
        <c:radarStyle val="marker"/>
        <c:varyColors val="0"/>
        <c:ser>
          <c:idx val="0"/>
          <c:order val="0"/>
          <c:marker>
            <c:symbol val="none"/>
          </c:marker>
          <c:cat>
            <c:strRef>
              <c:f>'10 MEJORA'!$B$21:$B$22</c:f>
              <c:strCache>
                <c:ptCount val="2"/>
                <c:pt idx="0">
                  <c:v>10.1 MEJORA CONTINUA</c:v>
                </c:pt>
                <c:pt idx="1">
                  <c:v>10.2 NO CONFORMIDAD Y ACCIÓN CORRECTIVA</c:v>
                </c:pt>
              </c:strCache>
            </c:strRef>
          </c:cat>
          <c:val>
            <c:numRef>
              <c:f>'10 MEJORA'!$C$21:$C$22</c:f>
              <c:numCache>
                <c:formatCode>0%</c:formatCode>
                <c:ptCount val="2"/>
                <c:pt idx="0">
                  <c:v>0</c:v>
                </c:pt>
                <c:pt idx="1">
                  <c:v>1</c:v>
                </c:pt>
              </c:numCache>
            </c:numRef>
          </c:val>
          <c:extLst>
            <c:ext xmlns:c16="http://schemas.microsoft.com/office/drawing/2014/chart" uri="{C3380CC4-5D6E-409C-BE32-E72D297353CC}">
              <c16:uniqueId val="{00000000-91EA-4DD0-900E-2E88FDAEA05C}"/>
            </c:ext>
          </c:extLst>
        </c:ser>
        <c:dLbls>
          <c:showLegendKey val="0"/>
          <c:showVal val="0"/>
          <c:showCatName val="0"/>
          <c:showSerName val="0"/>
          <c:showPercent val="0"/>
          <c:showBubbleSize val="0"/>
        </c:dLbls>
        <c:axId val="1756922128"/>
        <c:axId val="1"/>
      </c:radarChart>
      <c:catAx>
        <c:axId val="1756922128"/>
        <c:scaling>
          <c:orientation val="minMax"/>
        </c:scaling>
        <c:delete val="0"/>
        <c:axPos val="b"/>
        <c:majorGridlines/>
        <c:numFmt formatCode="General" sourceLinked="0"/>
        <c:majorTickMark val="out"/>
        <c:minorTickMark val="none"/>
        <c:tickLblPos val="nextTo"/>
        <c:txPr>
          <a:bodyPr rot="0" vert="horz"/>
          <a:lstStyle/>
          <a:p>
            <a:pPr>
              <a:defRPr sz="7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0%" sourceLinked="1"/>
        <c:majorTickMark val="none"/>
        <c:minorTickMark val="none"/>
        <c:tickLblPos val="nextTo"/>
        <c:txPr>
          <a:bodyPr rot="0" vert="horz"/>
          <a:lstStyle/>
          <a:p>
            <a:pPr>
              <a:defRPr sz="700" b="0" i="0" u="none" strike="noStrike" baseline="0">
                <a:solidFill>
                  <a:srgbClr val="000000"/>
                </a:solidFill>
                <a:latin typeface="Calibri"/>
                <a:ea typeface="Calibri"/>
                <a:cs typeface="Calibri"/>
              </a:defRPr>
            </a:pPr>
            <a:endParaRPr lang="es-CO"/>
          </a:p>
        </c:txPr>
        <c:crossAx val="1756922128"/>
        <c:crosses val="autoZero"/>
        <c:crossBetween val="between"/>
      </c:valAx>
    </c:plotArea>
    <c:plotVisOnly val="1"/>
    <c:dispBlanksAs val="gap"/>
    <c:showDLblsOverMax val="0"/>
  </c:chart>
  <c:txPr>
    <a:bodyPr/>
    <a:lstStyle/>
    <a:p>
      <a:pPr>
        <a:defRPr sz="700" b="0" i="0" u="none" strike="noStrike" baseline="0">
          <a:solidFill>
            <a:srgbClr val="000000"/>
          </a:solidFill>
          <a:latin typeface="Calibri"/>
          <a:ea typeface="Calibri"/>
          <a:cs typeface="Calibri"/>
        </a:defRPr>
      </a:pPr>
      <a:endParaRPr lang="es-CO"/>
    </a:p>
  </c:txPr>
  <c:printSettings>
    <c:headerFooter/>
    <c:pageMargins b="0.750000000000001" l="0.70000000000000062" r="0.70000000000000062" t="0.750000000000001" header="0.30000000000000032" footer="0.30000000000000032"/>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sz="1800" b="1" i="0" u="none" strike="noStrike" baseline="0">
                <a:solidFill>
                  <a:srgbClr val="000000"/>
                </a:solidFill>
                <a:latin typeface="Calibri"/>
                <a:ea typeface="Calibri"/>
                <a:cs typeface="Calibri"/>
              </a:defRPr>
            </a:pPr>
            <a:r>
              <a:rPr lang="es-CO"/>
              <a:t>CONTROLES ANEXO A</a:t>
            </a:r>
          </a:p>
        </c:rich>
      </c:tx>
      <c:layout>
        <c:manualLayout>
          <c:xMode val="edge"/>
          <c:yMode val="edge"/>
          <c:x val="0.33594851683851612"/>
          <c:y val="5.8263513324179679E-2"/>
        </c:manualLayout>
      </c:layout>
      <c:overlay val="0"/>
    </c:title>
    <c:autoTitleDeleted val="0"/>
    <c:plotArea>
      <c:layout>
        <c:manualLayout>
          <c:layoutTarget val="inner"/>
          <c:xMode val="edge"/>
          <c:yMode val="edge"/>
          <c:x val="0.23705248324735048"/>
          <c:y val="0.31504762258996866"/>
          <c:w val="0.58346014735304819"/>
          <c:h val="0.54969508093005148"/>
        </c:manualLayout>
      </c:layout>
      <c:radarChart>
        <c:radarStyle val="marker"/>
        <c:varyColors val="0"/>
        <c:ser>
          <c:idx val="0"/>
          <c:order val="0"/>
          <c:marker>
            <c:symbol val="none"/>
          </c:marker>
          <c:cat>
            <c:strRef>
              <c:f>'Anexo A'!$C$110:$C$113</c:f>
              <c:strCache>
                <c:ptCount val="4"/>
                <c:pt idx="0">
                  <c:v>5. CONTROLES ORGANIZACIONALES
(37)</c:v>
                </c:pt>
                <c:pt idx="1">
                  <c:v>6. CONTROLES DE PERSONAS
(8)</c:v>
                </c:pt>
                <c:pt idx="2">
                  <c:v>7. CONTROLES FISICOS
(14)</c:v>
                </c:pt>
                <c:pt idx="3">
                  <c:v>8. CONTROLES TECNOLÓGICOS
(34)</c:v>
                </c:pt>
              </c:strCache>
            </c:strRef>
          </c:cat>
          <c:val>
            <c:numRef>
              <c:f>'Anexo A'!$D$109:$D$113</c:f>
              <c:numCache>
                <c:formatCode>0%</c:formatCode>
                <c:ptCount val="5"/>
                <c:pt idx="0" formatCode="General">
                  <c:v>0</c:v>
                </c:pt>
                <c:pt idx="1">
                  <c:v>0.10810810810810811</c:v>
                </c:pt>
                <c:pt idx="2">
                  <c:v>0.5</c:v>
                </c:pt>
                <c:pt idx="3">
                  <c:v>7.1428571428571425E-2</c:v>
                </c:pt>
                <c:pt idx="4">
                  <c:v>4.4117647058823532E-2</c:v>
                </c:pt>
              </c:numCache>
            </c:numRef>
          </c:val>
          <c:extLst>
            <c:ext xmlns:c16="http://schemas.microsoft.com/office/drawing/2014/chart" uri="{C3380CC4-5D6E-409C-BE32-E72D297353CC}">
              <c16:uniqueId val="{00000000-89BF-43E4-B4BD-A4A3E0C5D313}"/>
            </c:ext>
          </c:extLst>
        </c:ser>
        <c:dLbls>
          <c:showLegendKey val="0"/>
          <c:showVal val="0"/>
          <c:showCatName val="0"/>
          <c:showSerName val="0"/>
          <c:showPercent val="0"/>
          <c:showBubbleSize val="0"/>
        </c:dLbls>
        <c:axId val="1755889184"/>
        <c:axId val="1"/>
      </c:radarChart>
      <c:catAx>
        <c:axId val="1755889184"/>
        <c:scaling>
          <c:orientation val="minMax"/>
        </c:scaling>
        <c:delete val="0"/>
        <c:axPos val="b"/>
        <c:majorGridlines/>
        <c:numFmt formatCode="General" sourceLinked="0"/>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s-CO"/>
          </a:p>
        </c:txPr>
        <c:crossAx val="1"/>
        <c:crosses val="autoZero"/>
        <c:auto val="0"/>
        <c:lblAlgn val="ctr"/>
        <c:lblOffset val="100"/>
        <c:noMultiLvlLbl val="0"/>
      </c:catAx>
      <c:valAx>
        <c:axId val="1"/>
        <c:scaling>
          <c:orientation val="minMax"/>
        </c:scaling>
        <c:delete val="0"/>
        <c:axPos val="l"/>
        <c:majorGridlines/>
        <c:numFmt formatCode="General" sourceLinked="1"/>
        <c:majorTickMark val="none"/>
        <c:minorTickMark val="none"/>
        <c:tickLblPos val="nextTo"/>
        <c:txPr>
          <a:bodyPr rot="0" vert="horz"/>
          <a:lstStyle/>
          <a:p>
            <a:pPr>
              <a:defRPr sz="900" b="0" i="0" u="none" strike="noStrike" baseline="0">
                <a:solidFill>
                  <a:srgbClr val="000000"/>
                </a:solidFill>
                <a:latin typeface="Calibri"/>
                <a:ea typeface="Calibri"/>
                <a:cs typeface="Calibri"/>
              </a:defRPr>
            </a:pPr>
            <a:endParaRPr lang="es-CO"/>
          </a:p>
        </c:txPr>
        <c:crossAx val="1755889184"/>
        <c:crosses val="autoZero"/>
        <c:crossBetween val="between"/>
      </c:valAx>
    </c:plotArea>
    <c:plotVisOnly val="1"/>
    <c:dispBlanksAs val="gap"/>
    <c:showDLblsOverMax val="0"/>
  </c:chart>
  <c:spPr>
    <a:ln w="38100">
      <a:solidFill>
        <a:srgbClr val="C00000"/>
      </a:solidFill>
    </a:ln>
  </c:spPr>
  <c:txPr>
    <a:bodyPr/>
    <a:lstStyle/>
    <a:p>
      <a:pPr>
        <a:defRPr sz="900" b="0" i="0" u="none" strike="noStrike" baseline="0">
          <a:solidFill>
            <a:srgbClr val="000000"/>
          </a:solidFill>
          <a:latin typeface="Calibri"/>
          <a:ea typeface="Calibri"/>
          <a:cs typeface="Calibri"/>
        </a:defRPr>
      </a:pPr>
      <a:endParaRPr lang="es-CO"/>
    </a:p>
  </c:txPr>
  <c:printSettings>
    <c:headerFooter/>
    <c:pageMargins b="0.75000000000000078" l="0.70000000000000062" r="0.70000000000000062" t="0.75000000000000078" header="0.30000000000000032" footer="0.3000000000000003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editAs="oneCell">
    <xdr:from>
      <xdr:col>0</xdr:col>
      <xdr:colOff>247650</xdr:colOff>
      <xdr:row>0</xdr:row>
      <xdr:rowOff>228600</xdr:rowOff>
    </xdr:from>
    <xdr:to>
      <xdr:col>2</xdr:col>
      <xdr:colOff>76200</xdr:colOff>
      <xdr:row>2</xdr:row>
      <xdr:rowOff>114300</xdr:rowOff>
    </xdr:to>
    <xdr:pic>
      <xdr:nvPicPr>
        <xdr:cNvPr id="5661186" name="Imagen 1">
          <a:extLst>
            <a:ext uri="{FF2B5EF4-FFF2-40B4-BE49-F238E27FC236}">
              <a16:creationId xmlns:a16="http://schemas.microsoft.com/office/drawing/2014/main" id="{5CF73CCA-B433-4B8F-C945-04CE24D37CF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7650" y="190500"/>
          <a:ext cx="1352550" cy="314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12</xdr:col>
      <xdr:colOff>971550</xdr:colOff>
      <xdr:row>0</xdr:row>
      <xdr:rowOff>142875</xdr:rowOff>
    </xdr:from>
    <xdr:to>
      <xdr:col>23</xdr:col>
      <xdr:colOff>219075</xdr:colOff>
      <xdr:row>6</xdr:row>
      <xdr:rowOff>590550</xdr:rowOff>
    </xdr:to>
    <xdr:graphicFrame macro="">
      <xdr:nvGraphicFramePr>
        <xdr:cNvPr id="13960258" name="2 Gráfico">
          <a:extLst>
            <a:ext uri="{FF2B5EF4-FFF2-40B4-BE49-F238E27FC236}">
              <a16:creationId xmlns:a16="http://schemas.microsoft.com/office/drawing/2014/main" id="{102A13C4-710B-0B7F-82F0-E1F44D9AA3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66675</xdr:colOff>
      <xdr:row>25</xdr:row>
      <xdr:rowOff>76200</xdr:rowOff>
    </xdr:from>
    <xdr:to>
      <xdr:col>8</xdr:col>
      <xdr:colOff>114300</xdr:colOff>
      <xdr:row>51</xdr:row>
      <xdr:rowOff>266700</xdr:rowOff>
    </xdr:to>
    <xdr:graphicFrame macro="">
      <xdr:nvGraphicFramePr>
        <xdr:cNvPr id="13960259" name="2 Gráfico">
          <a:extLst>
            <a:ext uri="{FF2B5EF4-FFF2-40B4-BE49-F238E27FC236}">
              <a16:creationId xmlns:a16="http://schemas.microsoft.com/office/drawing/2014/main" id="{F28ECD78-C96E-0DC7-B5D9-0D5B7A636F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33</xdr:row>
      <xdr:rowOff>0</xdr:rowOff>
    </xdr:from>
    <xdr:to>
      <xdr:col>6</xdr:col>
      <xdr:colOff>7019925</xdr:colOff>
      <xdr:row>58</xdr:row>
      <xdr:rowOff>123825</xdr:rowOff>
    </xdr:to>
    <xdr:graphicFrame macro="">
      <xdr:nvGraphicFramePr>
        <xdr:cNvPr id="3981" name="1 Gráfico">
          <a:extLst>
            <a:ext uri="{FF2B5EF4-FFF2-40B4-BE49-F238E27FC236}">
              <a16:creationId xmlns:a16="http://schemas.microsoft.com/office/drawing/2014/main" id="{23DB340F-3CC2-E5BF-3160-E768F59F43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276225</xdr:colOff>
      <xdr:row>54</xdr:row>
      <xdr:rowOff>142875</xdr:rowOff>
    </xdr:from>
    <xdr:to>
      <xdr:col>8</xdr:col>
      <xdr:colOff>257175</xdr:colOff>
      <xdr:row>77</xdr:row>
      <xdr:rowOff>57150</xdr:rowOff>
    </xdr:to>
    <xdr:graphicFrame macro="">
      <xdr:nvGraphicFramePr>
        <xdr:cNvPr id="13964387" name="3 Gráfico">
          <a:extLst>
            <a:ext uri="{FF2B5EF4-FFF2-40B4-BE49-F238E27FC236}">
              <a16:creationId xmlns:a16="http://schemas.microsoft.com/office/drawing/2014/main" id="{FE7AEB91-0680-DAD9-FF83-CF1FFF1B75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25</xdr:row>
      <xdr:rowOff>0</xdr:rowOff>
    </xdr:from>
    <xdr:to>
      <xdr:col>19</xdr:col>
      <xdr:colOff>323850</xdr:colOff>
      <xdr:row>27</xdr:row>
      <xdr:rowOff>1419225</xdr:rowOff>
    </xdr:to>
    <xdr:pic>
      <xdr:nvPicPr>
        <xdr:cNvPr id="13964388" name="Imagen 1">
          <a:extLst>
            <a:ext uri="{FF2B5EF4-FFF2-40B4-BE49-F238E27FC236}">
              <a16:creationId xmlns:a16="http://schemas.microsoft.com/office/drawing/2014/main" id="{35CEACBF-A105-77E8-E3AE-9EE14EB482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3098125" y="17973675"/>
          <a:ext cx="7181850" cy="5514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238125</xdr:colOff>
      <xdr:row>24</xdr:row>
      <xdr:rowOff>628650</xdr:rowOff>
    </xdr:from>
    <xdr:to>
      <xdr:col>19</xdr:col>
      <xdr:colOff>647700</xdr:colOff>
      <xdr:row>24</xdr:row>
      <xdr:rowOff>1638300</xdr:rowOff>
    </xdr:to>
    <xdr:pic>
      <xdr:nvPicPr>
        <xdr:cNvPr id="13964389" name="Imagen 2">
          <a:extLst>
            <a:ext uri="{FF2B5EF4-FFF2-40B4-BE49-F238E27FC236}">
              <a16:creationId xmlns:a16="http://schemas.microsoft.com/office/drawing/2014/main" id="{6A9773CB-2A18-5EBD-6B70-BD07F39AD7E4}"/>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098250" y="16811625"/>
          <a:ext cx="6505575" cy="1009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6</xdr:col>
      <xdr:colOff>0</xdr:colOff>
      <xdr:row>56</xdr:row>
      <xdr:rowOff>247650</xdr:rowOff>
    </xdr:from>
    <xdr:to>
      <xdr:col>7</xdr:col>
      <xdr:colOff>3190875</xdr:colOff>
      <xdr:row>71</xdr:row>
      <xdr:rowOff>28575</xdr:rowOff>
    </xdr:to>
    <xdr:graphicFrame macro="">
      <xdr:nvGraphicFramePr>
        <xdr:cNvPr id="14129951" name="4 Gráfico">
          <a:extLst>
            <a:ext uri="{FF2B5EF4-FFF2-40B4-BE49-F238E27FC236}">
              <a16:creationId xmlns:a16="http://schemas.microsoft.com/office/drawing/2014/main" id="{E883AF4B-0B10-8845-E111-94C9F42628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57150</xdr:colOff>
      <xdr:row>20</xdr:row>
      <xdr:rowOff>47625</xdr:rowOff>
    </xdr:from>
    <xdr:to>
      <xdr:col>8</xdr:col>
      <xdr:colOff>1257300</xdr:colOff>
      <xdr:row>50</xdr:row>
      <xdr:rowOff>123825</xdr:rowOff>
    </xdr:to>
    <xdr:graphicFrame macro="">
      <xdr:nvGraphicFramePr>
        <xdr:cNvPr id="7047" name="14 Gráfico">
          <a:extLst>
            <a:ext uri="{FF2B5EF4-FFF2-40B4-BE49-F238E27FC236}">
              <a16:creationId xmlns:a16="http://schemas.microsoft.com/office/drawing/2014/main" id="{63D5A1A8-BB35-A16C-3721-E0AF9047AD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371475</xdr:colOff>
      <xdr:row>2</xdr:row>
      <xdr:rowOff>19050</xdr:rowOff>
    </xdr:from>
    <xdr:to>
      <xdr:col>4</xdr:col>
      <xdr:colOff>323850</xdr:colOff>
      <xdr:row>20</xdr:row>
      <xdr:rowOff>257175</xdr:rowOff>
    </xdr:to>
    <xdr:graphicFrame macro="">
      <xdr:nvGraphicFramePr>
        <xdr:cNvPr id="17246" name="2 Gráfico">
          <a:extLst>
            <a:ext uri="{FF2B5EF4-FFF2-40B4-BE49-F238E27FC236}">
              <a16:creationId xmlns:a16="http://schemas.microsoft.com/office/drawing/2014/main" id="{0D649E60-737A-D379-6802-0C3D730594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914400</xdr:colOff>
      <xdr:row>49</xdr:row>
      <xdr:rowOff>57150</xdr:rowOff>
    </xdr:from>
    <xdr:to>
      <xdr:col>7</xdr:col>
      <xdr:colOff>4076700</xdr:colOff>
      <xdr:row>83</xdr:row>
      <xdr:rowOff>76200</xdr:rowOff>
    </xdr:to>
    <xdr:graphicFrame macro="">
      <xdr:nvGraphicFramePr>
        <xdr:cNvPr id="3049" name="5 Gráfico">
          <a:extLst>
            <a:ext uri="{FF2B5EF4-FFF2-40B4-BE49-F238E27FC236}">
              <a16:creationId xmlns:a16="http://schemas.microsoft.com/office/drawing/2014/main" id="{89536950-C546-8B57-7153-60FAFE54E9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5</xdr:col>
      <xdr:colOff>57150</xdr:colOff>
      <xdr:row>18</xdr:row>
      <xdr:rowOff>104775</xdr:rowOff>
    </xdr:from>
    <xdr:to>
      <xdr:col>7</xdr:col>
      <xdr:colOff>257175</xdr:colOff>
      <xdr:row>51</xdr:row>
      <xdr:rowOff>180975</xdr:rowOff>
    </xdr:to>
    <xdr:graphicFrame macro="">
      <xdr:nvGraphicFramePr>
        <xdr:cNvPr id="8086" name="2 Gráfico">
          <a:extLst>
            <a:ext uri="{FF2B5EF4-FFF2-40B4-BE49-F238E27FC236}">
              <a16:creationId xmlns:a16="http://schemas.microsoft.com/office/drawing/2014/main" id="{CF2F35E9-3480-19A1-4FD0-A0FB07D97A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296332</xdr:colOff>
      <xdr:row>107</xdr:row>
      <xdr:rowOff>41275</xdr:rowOff>
    </xdr:from>
    <xdr:to>
      <xdr:col>11</xdr:col>
      <xdr:colOff>1502834</xdr:colOff>
      <xdr:row>124</xdr:row>
      <xdr:rowOff>42333</xdr:rowOff>
    </xdr:to>
    <xdr:graphicFrame macro="">
      <xdr:nvGraphicFramePr>
        <xdr:cNvPr id="2" name="Gráfico 1">
          <a:extLst>
            <a:ext uri="{FF2B5EF4-FFF2-40B4-BE49-F238E27FC236}">
              <a16:creationId xmlns:a16="http://schemas.microsoft.com/office/drawing/2014/main" id="{6FB5D4C4-B993-E34B-B716-4209638644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9524</xdr:colOff>
      <xdr:row>1</xdr:row>
      <xdr:rowOff>0</xdr:rowOff>
    </xdr:from>
    <xdr:to>
      <xdr:col>9</xdr:col>
      <xdr:colOff>112567</xdr:colOff>
      <xdr:row>18</xdr:row>
      <xdr:rowOff>129886</xdr:rowOff>
    </xdr:to>
    <xdr:graphicFrame macro="">
      <xdr:nvGraphicFramePr>
        <xdr:cNvPr id="13972744" name="1 Gráfico">
          <a:extLst>
            <a:ext uri="{FF2B5EF4-FFF2-40B4-BE49-F238E27FC236}">
              <a16:creationId xmlns:a16="http://schemas.microsoft.com/office/drawing/2014/main" id="{148D6C1F-67BC-160E-D23D-818D6EC15C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9525</xdr:colOff>
      <xdr:row>0</xdr:row>
      <xdr:rowOff>266700</xdr:rowOff>
    </xdr:from>
    <xdr:to>
      <xdr:col>14</xdr:col>
      <xdr:colOff>1133475</xdr:colOff>
      <xdr:row>18</xdr:row>
      <xdr:rowOff>28575</xdr:rowOff>
    </xdr:to>
    <xdr:graphicFrame macro="">
      <xdr:nvGraphicFramePr>
        <xdr:cNvPr id="13972745" name="2 Gráfico">
          <a:extLst>
            <a:ext uri="{FF2B5EF4-FFF2-40B4-BE49-F238E27FC236}">
              <a16:creationId xmlns:a16="http://schemas.microsoft.com/office/drawing/2014/main" id="{4E69AB00-AE30-D95C-3777-17F3EF1E1C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1133475</xdr:colOff>
      <xdr:row>0</xdr:row>
      <xdr:rowOff>266700</xdr:rowOff>
    </xdr:from>
    <xdr:to>
      <xdr:col>20</xdr:col>
      <xdr:colOff>1114425</xdr:colOff>
      <xdr:row>17</xdr:row>
      <xdr:rowOff>266700</xdr:rowOff>
    </xdr:to>
    <xdr:graphicFrame macro="">
      <xdr:nvGraphicFramePr>
        <xdr:cNvPr id="13972746" name="3 Gráfico">
          <a:extLst>
            <a:ext uri="{FF2B5EF4-FFF2-40B4-BE49-F238E27FC236}">
              <a16:creationId xmlns:a16="http://schemas.microsoft.com/office/drawing/2014/main" id="{B242CEE5-1212-9701-3EE0-BA15D8FBBA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1066800</xdr:colOff>
      <xdr:row>19</xdr:row>
      <xdr:rowOff>257175</xdr:rowOff>
    </xdr:from>
    <xdr:to>
      <xdr:col>8</xdr:col>
      <xdr:colOff>1133475</xdr:colOff>
      <xdr:row>36</xdr:row>
      <xdr:rowOff>9525</xdr:rowOff>
    </xdr:to>
    <xdr:graphicFrame macro="">
      <xdr:nvGraphicFramePr>
        <xdr:cNvPr id="13972747" name="4 Gráfico">
          <a:extLst>
            <a:ext uri="{FF2B5EF4-FFF2-40B4-BE49-F238E27FC236}">
              <a16:creationId xmlns:a16="http://schemas.microsoft.com/office/drawing/2014/main" id="{2558A094-FCF1-679A-1599-16CBC33AD9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28575</xdr:colOff>
      <xdr:row>19</xdr:row>
      <xdr:rowOff>266700</xdr:rowOff>
    </xdr:from>
    <xdr:to>
      <xdr:col>15</xdr:col>
      <xdr:colOff>0</xdr:colOff>
      <xdr:row>36</xdr:row>
      <xdr:rowOff>28575</xdr:rowOff>
    </xdr:to>
    <xdr:graphicFrame macro="">
      <xdr:nvGraphicFramePr>
        <xdr:cNvPr id="13972748" name="5 Gráfico">
          <a:extLst>
            <a:ext uri="{FF2B5EF4-FFF2-40B4-BE49-F238E27FC236}">
              <a16:creationId xmlns:a16="http://schemas.microsoft.com/office/drawing/2014/main" id="{9750DFE9-5F0E-6AEA-E5F0-4085654FEE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9525</xdr:colOff>
      <xdr:row>20</xdr:row>
      <xdr:rowOff>28575</xdr:rowOff>
    </xdr:from>
    <xdr:to>
      <xdr:col>21</xdr:col>
      <xdr:colOff>47625</xdr:colOff>
      <xdr:row>36</xdr:row>
      <xdr:rowOff>28575</xdr:rowOff>
    </xdr:to>
    <xdr:graphicFrame macro="">
      <xdr:nvGraphicFramePr>
        <xdr:cNvPr id="13972749" name="6 Gráfico">
          <a:extLst>
            <a:ext uri="{FF2B5EF4-FFF2-40B4-BE49-F238E27FC236}">
              <a16:creationId xmlns:a16="http://schemas.microsoft.com/office/drawing/2014/main" id="{C06566DB-1264-CD24-36C2-DE68447F69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9525</xdr:colOff>
      <xdr:row>39</xdr:row>
      <xdr:rowOff>209550</xdr:rowOff>
    </xdr:from>
    <xdr:to>
      <xdr:col>8</xdr:col>
      <xdr:colOff>1133475</xdr:colOff>
      <xdr:row>58</xdr:row>
      <xdr:rowOff>257175</xdr:rowOff>
    </xdr:to>
    <xdr:graphicFrame macro="">
      <xdr:nvGraphicFramePr>
        <xdr:cNvPr id="13972750" name="7 Gráfico">
          <a:extLst>
            <a:ext uri="{FF2B5EF4-FFF2-40B4-BE49-F238E27FC236}">
              <a16:creationId xmlns:a16="http://schemas.microsoft.com/office/drawing/2014/main" id="{E8A94C77-8431-74F9-B9F7-5C146261A8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0</xdr:colOff>
      <xdr:row>40</xdr:row>
      <xdr:rowOff>0</xdr:rowOff>
    </xdr:from>
    <xdr:to>
      <xdr:col>17</xdr:col>
      <xdr:colOff>66675</xdr:colOff>
      <xdr:row>59</xdr:row>
      <xdr:rowOff>66675</xdr:rowOff>
    </xdr:to>
    <xdr:graphicFrame macro="">
      <xdr:nvGraphicFramePr>
        <xdr:cNvPr id="13972751" name="2 Gráfico">
          <a:extLst>
            <a:ext uri="{FF2B5EF4-FFF2-40B4-BE49-F238E27FC236}">
              <a16:creationId xmlns:a16="http://schemas.microsoft.com/office/drawing/2014/main" id="{7CB78B8B-5E7B-EA9B-873D-7A59DB773F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CA3B7-FF23-4E12-B346-19091A2D6640}">
  <sheetPr codeName="Hoja1"/>
  <dimension ref="A1:H68"/>
  <sheetViews>
    <sheetView topLeftCell="A60" workbookViewId="0">
      <selection activeCell="A7" sqref="A7:A8"/>
    </sheetView>
  </sheetViews>
  <sheetFormatPr baseColWidth="10" defaultColWidth="11.453125" defaultRowHeight="14.5" x14ac:dyDescent="0.35"/>
  <cols>
    <col min="3" max="3" width="27.81640625" customWidth="1"/>
    <col min="4" max="4" width="25.1796875" customWidth="1"/>
  </cols>
  <sheetData>
    <row r="1" spans="1:8" x14ac:dyDescent="0.35">
      <c r="A1" s="42"/>
      <c r="B1" s="42"/>
      <c r="C1" s="42"/>
      <c r="D1" s="42"/>
      <c r="E1" s="42"/>
      <c r="F1" s="42"/>
    </row>
    <row r="2" spans="1:8" ht="15.5" x14ac:dyDescent="0.35">
      <c r="A2" s="377" t="s">
        <v>0</v>
      </c>
      <c r="B2" s="377"/>
      <c r="C2" s="377"/>
      <c r="D2" s="377"/>
      <c r="E2" s="377"/>
      <c r="F2" s="377"/>
      <c r="G2" s="377"/>
      <c r="H2" s="377"/>
    </row>
    <row r="3" spans="1:8" ht="15" thickBot="1" x14ac:dyDescent="0.4">
      <c r="A3" s="42"/>
      <c r="B3" s="42"/>
      <c r="C3" s="42"/>
      <c r="D3" s="42"/>
      <c r="E3" s="42"/>
      <c r="F3" s="42"/>
    </row>
    <row r="4" spans="1:8" ht="21.65" customHeight="1" x14ac:dyDescent="0.35">
      <c r="A4" s="364" t="s">
        <v>1</v>
      </c>
      <c r="B4" s="369" t="s">
        <v>2</v>
      </c>
      <c r="C4" s="369" t="s">
        <v>3</v>
      </c>
      <c r="D4" s="365" t="s">
        <v>4</v>
      </c>
      <c r="E4" s="364" t="s">
        <v>5</v>
      </c>
      <c r="F4" s="365"/>
      <c r="G4" s="364" t="s">
        <v>6</v>
      </c>
      <c r="H4" s="365"/>
    </row>
    <row r="5" spans="1:8" x14ac:dyDescent="0.35">
      <c r="A5" s="368"/>
      <c r="B5" s="370"/>
      <c r="C5" s="370"/>
      <c r="D5" s="371"/>
      <c r="E5" s="319" t="s">
        <v>7</v>
      </c>
      <c r="F5" s="320" t="s">
        <v>8</v>
      </c>
      <c r="G5" s="319" t="s">
        <v>7</v>
      </c>
      <c r="H5" s="320" t="s">
        <v>8</v>
      </c>
    </row>
    <row r="6" spans="1:8" ht="40" x14ac:dyDescent="0.35">
      <c r="A6" s="317" t="s">
        <v>9</v>
      </c>
      <c r="B6" s="318" t="s">
        <v>10</v>
      </c>
      <c r="C6" s="322" t="s">
        <v>11</v>
      </c>
      <c r="D6" s="321" t="s">
        <v>12</v>
      </c>
      <c r="E6" s="43" t="s">
        <v>13</v>
      </c>
      <c r="F6" s="44" t="s">
        <v>14</v>
      </c>
      <c r="G6" s="43" t="s">
        <v>13</v>
      </c>
      <c r="H6" s="44" t="s">
        <v>14</v>
      </c>
    </row>
    <row r="7" spans="1:8" ht="20" x14ac:dyDescent="0.35">
      <c r="A7" s="366" t="s">
        <v>15</v>
      </c>
      <c r="B7" s="367" t="s">
        <v>16</v>
      </c>
      <c r="C7" s="322" t="s">
        <v>17</v>
      </c>
      <c r="D7" s="321" t="s">
        <v>18</v>
      </c>
      <c r="E7" s="43" t="s">
        <v>19</v>
      </c>
      <c r="F7" s="44" t="s">
        <v>20</v>
      </c>
      <c r="G7" s="43" t="s">
        <v>19</v>
      </c>
      <c r="H7" s="44" t="s">
        <v>20</v>
      </c>
    </row>
    <row r="8" spans="1:8" ht="30" x14ac:dyDescent="0.35">
      <c r="A8" s="366"/>
      <c r="B8" s="367"/>
      <c r="C8" s="322" t="s">
        <v>21</v>
      </c>
      <c r="D8" s="321" t="s">
        <v>18</v>
      </c>
      <c r="E8" s="43" t="s">
        <v>19</v>
      </c>
      <c r="F8" s="44" t="s">
        <v>20</v>
      </c>
      <c r="G8" s="43" t="s">
        <v>19</v>
      </c>
      <c r="H8" s="44" t="s">
        <v>20</v>
      </c>
    </row>
    <row r="9" spans="1:8" ht="60" x14ac:dyDescent="0.35">
      <c r="A9" s="366" t="s">
        <v>22</v>
      </c>
      <c r="B9" s="318" t="s">
        <v>23</v>
      </c>
      <c r="C9" s="322" t="s">
        <v>24</v>
      </c>
      <c r="D9" s="321" t="s">
        <v>25</v>
      </c>
      <c r="E9" s="43" t="s">
        <v>26</v>
      </c>
      <c r="F9" s="44" t="s">
        <v>27</v>
      </c>
      <c r="G9" s="43" t="s">
        <v>28</v>
      </c>
      <c r="H9" s="44" t="s">
        <v>28</v>
      </c>
    </row>
    <row r="10" spans="1:8" ht="20" x14ac:dyDescent="0.35">
      <c r="A10" s="366"/>
      <c r="B10" s="367" t="s">
        <v>29</v>
      </c>
      <c r="C10" s="322" t="s">
        <v>30</v>
      </c>
      <c r="D10" s="321" t="s">
        <v>25</v>
      </c>
      <c r="E10" s="43" t="s">
        <v>20</v>
      </c>
      <c r="F10" s="44" t="s">
        <v>20</v>
      </c>
      <c r="G10" s="43" t="s">
        <v>28</v>
      </c>
      <c r="H10" s="44" t="s">
        <v>28</v>
      </c>
    </row>
    <row r="11" spans="1:8" ht="30" x14ac:dyDescent="0.35">
      <c r="A11" s="366"/>
      <c r="B11" s="367"/>
      <c r="C11" s="322" t="s">
        <v>31</v>
      </c>
      <c r="D11" s="321" t="s">
        <v>32</v>
      </c>
      <c r="E11" s="43" t="s">
        <v>20</v>
      </c>
      <c r="F11" s="44" t="s">
        <v>14</v>
      </c>
      <c r="G11" s="43" t="s">
        <v>20</v>
      </c>
      <c r="H11" s="44" t="s">
        <v>14</v>
      </c>
    </row>
    <row r="12" spans="1:8" ht="20" x14ac:dyDescent="0.35">
      <c r="A12" s="366"/>
      <c r="B12" s="367" t="s">
        <v>33</v>
      </c>
      <c r="C12" s="322" t="s">
        <v>34</v>
      </c>
      <c r="D12" s="321" t="s">
        <v>25</v>
      </c>
      <c r="E12" s="43" t="s">
        <v>14</v>
      </c>
      <c r="F12" s="44" t="s">
        <v>14</v>
      </c>
      <c r="G12" s="43" t="s">
        <v>14</v>
      </c>
      <c r="H12" s="44" t="s">
        <v>14</v>
      </c>
    </row>
    <row r="13" spans="1:8" ht="30" x14ac:dyDescent="0.35">
      <c r="A13" s="366"/>
      <c r="B13" s="367"/>
      <c r="C13" s="322" t="s">
        <v>35</v>
      </c>
      <c r="D13" s="321" t="s">
        <v>36</v>
      </c>
      <c r="E13" s="43" t="s">
        <v>37</v>
      </c>
      <c r="F13" s="44" t="s">
        <v>37</v>
      </c>
      <c r="G13" s="43" t="s">
        <v>37</v>
      </c>
      <c r="H13" s="44" t="s">
        <v>37</v>
      </c>
    </row>
    <row r="14" spans="1:8" ht="20" x14ac:dyDescent="0.35">
      <c r="A14" s="366"/>
      <c r="B14" s="367"/>
      <c r="C14" s="322" t="s">
        <v>38</v>
      </c>
      <c r="D14" s="321" t="s">
        <v>18</v>
      </c>
      <c r="E14" s="43" t="s">
        <v>37</v>
      </c>
      <c r="F14" s="44" t="s">
        <v>37</v>
      </c>
      <c r="G14" s="43" t="s">
        <v>37</v>
      </c>
      <c r="H14" s="44" t="s">
        <v>37</v>
      </c>
    </row>
    <row r="15" spans="1:8" ht="40" x14ac:dyDescent="0.35">
      <c r="A15" s="366"/>
      <c r="B15" s="318" t="s">
        <v>39</v>
      </c>
      <c r="C15" s="322" t="s">
        <v>40</v>
      </c>
      <c r="D15" s="321" t="s">
        <v>41</v>
      </c>
      <c r="E15" s="43" t="s">
        <v>37</v>
      </c>
      <c r="F15" s="44" t="s">
        <v>37</v>
      </c>
      <c r="G15" s="43" t="s">
        <v>37</v>
      </c>
      <c r="H15" s="44" t="s">
        <v>37</v>
      </c>
    </row>
    <row r="16" spans="1:8" ht="70" x14ac:dyDescent="0.35">
      <c r="A16" s="317" t="s">
        <v>42</v>
      </c>
      <c r="B16" s="318" t="s">
        <v>43</v>
      </c>
      <c r="C16" s="322" t="s">
        <v>44</v>
      </c>
      <c r="D16" s="321" t="s">
        <v>25</v>
      </c>
      <c r="E16" s="43" t="s">
        <v>45</v>
      </c>
      <c r="F16" s="44" t="s">
        <v>45</v>
      </c>
      <c r="G16" s="43" t="s">
        <v>45</v>
      </c>
      <c r="H16" s="44" t="s">
        <v>45</v>
      </c>
    </row>
    <row r="17" spans="1:8" ht="30" x14ac:dyDescent="0.35">
      <c r="A17" s="366" t="s">
        <v>46</v>
      </c>
      <c r="B17" s="318" t="s">
        <v>47</v>
      </c>
      <c r="C17" s="322" t="s">
        <v>48</v>
      </c>
      <c r="D17" s="321" t="s">
        <v>25</v>
      </c>
      <c r="E17" s="43" t="s">
        <v>49</v>
      </c>
      <c r="F17" s="44" t="s">
        <v>14</v>
      </c>
      <c r="G17" s="43" t="s">
        <v>28</v>
      </c>
      <c r="H17" s="44" t="s">
        <v>28</v>
      </c>
    </row>
    <row r="18" spans="1:8" x14ac:dyDescent="0.35">
      <c r="A18" s="366"/>
      <c r="B18" s="318" t="s">
        <v>50</v>
      </c>
      <c r="C18" s="322" t="s">
        <v>51</v>
      </c>
      <c r="D18" s="321" t="s">
        <v>25</v>
      </c>
      <c r="E18" s="43" t="s">
        <v>52</v>
      </c>
      <c r="F18" s="44" t="s">
        <v>53</v>
      </c>
      <c r="G18" s="43" t="s">
        <v>28</v>
      </c>
      <c r="H18" s="44" t="s">
        <v>28</v>
      </c>
    </row>
    <row r="19" spans="1:8" ht="40" x14ac:dyDescent="0.35">
      <c r="A19" s="366"/>
      <c r="B19" s="367" t="s">
        <v>54</v>
      </c>
      <c r="C19" s="322" t="s">
        <v>55</v>
      </c>
      <c r="D19" s="321" t="s">
        <v>56</v>
      </c>
      <c r="E19" s="43" t="s">
        <v>57</v>
      </c>
      <c r="F19" s="44" t="s">
        <v>58</v>
      </c>
      <c r="G19" s="43" t="s">
        <v>57</v>
      </c>
      <c r="H19" s="44" t="s">
        <v>58</v>
      </c>
    </row>
    <row r="20" spans="1:8" ht="30" x14ac:dyDescent="0.35">
      <c r="A20" s="366"/>
      <c r="B20" s="367"/>
      <c r="C20" s="322" t="s">
        <v>59</v>
      </c>
      <c r="D20" s="321" t="s">
        <v>60</v>
      </c>
      <c r="E20" s="43" t="s">
        <v>57</v>
      </c>
      <c r="F20" s="44" t="s">
        <v>58</v>
      </c>
      <c r="G20" s="43" t="s">
        <v>57</v>
      </c>
      <c r="H20" s="44" t="s">
        <v>58</v>
      </c>
    </row>
    <row r="21" spans="1:8" ht="30" x14ac:dyDescent="0.35">
      <c r="A21" s="366"/>
      <c r="B21" s="318" t="s">
        <v>61</v>
      </c>
      <c r="C21" s="322" t="s">
        <v>62</v>
      </c>
      <c r="D21" s="321" t="s">
        <v>63</v>
      </c>
      <c r="E21" s="43" t="s">
        <v>58</v>
      </c>
      <c r="F21" s="44" t="s">
        <v>58</v>
      </c>
      <c r="G21" s="43" t="s">
        <v>58</v>
      </c>
      <c r="H21" s="44" t="s">
        <v>58</v>
      </c>
    </row>
    <row r="22" spans="1:8" x14ac:dyDescent="0.35">
      <c r="A22" s="366"/>
      <c r="B22" s="318" t="s">
        <v>64</v>
      </c>
      <c r="C22" s="322" t="s">
        <v>65</v>
      </c>
      <c r="D22" s="321" t="s">
        <v>25</v>
      </c>
      <c r="E22" s="43" t="s">
        <v>58</v>
      </c>
      <c r="F22" s="44" t="s">
        <v>58</v>
      </c>
      <c r="G22" s="43" t="s">
        <v>58</v>
      </c>
      <c r="H22" s="44" t="s">
        <v>58</v>
      </c>
    </row>
    <row r="23" spans="1:8" x14ac:dyDescent="0.35">
      <c r="A23" s="366"/>
      <c r="B23" s="367" t="s">
        <v>66</v>
      </c>
      <c r="C23" s="367" t="s">
        <v>67</v>
      </c>
      <c r="D23" s="372" t="s">
        <v>68</v>
      </c>
      <c r="E23" s="43" t="s">
        <v>19</v>
      </c>
      <c r="F23" s="44" t="s">
        <v>19</v>
      </c>
      <c r="G23" s="43" t="s">
        <v>19</v>
      </c>
      <c r="H23" s="44" t="s">
        <v>19</v>
      </c>
    </row>
    <row r="24" spans="1:8" x14ac:dyDescent="0.35">
      <c r="A24" s="366"/>
      <c r="B24" s="367"/>
      <c r="C24" s="367"/>
      <c r="D24" s="372"/>
      <c r="E24" s="43" t="s">
        <v>13</v>
      </c>
      <c r="F24" s="44" t="s">
        <v>13</v>
      </c>
      <c r="G24" s="43" t="s">
        <v>13</v>
      </c>
      <c r="H24" s="44" t="s">
        <v>13</v>
      </c>
    </row>
    <row r="25" spans="1:8" x14ac:dyDescent="0.35">
      <c r="A25" s="366"/>
      <c r="B25" s="367"/>
      <c r="C25" s="367"/>
      <c r="D25" s="372"/>
      <c r="E25" s="43" t="s">
        <v>52</v>
      </c>
      <c r="F25" s="44" t="s">
        <v>52</v>
      </c>
      <c r="G25" s="43" t="s">
        <v>52</v>
      </c>
      <c r="H25" s="44" t="s">
        <v>52</v>
      </c>
    </row>
    <row r="26" spans="1:8" x14ac:dyDescent="0.35">
      <c r="A26" s="366"/>
      <c r="B26" s="367"/>
      <c r="C26" s="367"/>
      <c r="D26" s="372"/>
      <c r="E26" s="43" t="s">
        <v>37</v>
      </c>
      <c r="F26" s="44" t="s">
        <v>37</v>
      </c>
      <c r="G26" s="43" t="s">
        <v>37</v>
      </c>
      <c r="H26" s="44" t="s">
        <v>37</v>
      </c>
    </row>
    <row r="27" spans="1:8" ht="30" x14ac:dyDescent="0.35">
      <c r="A27" s="366"/>
      <c r="B27" s="45" t="s">
        <v>69</v>
      </c>
      <c r="C27" s="46" t="s">
        <v>70</v>
      </c>
      <c r="D27" s="47" t="s">
        <v>68</v>
      </c>
      <c r="E27" s="48" t="s">
        <v>71</v>
      </c>
      <c r="F27" s="49" t="s">
        <v>58</v>
      </c>
      <c r="G27" s="48" t="s">
        <v>71</v>
      </c>
      <c r="H27" s="49" t="s">
        <v>58</v>
      </c>
    </row>
    <row r="28" spans="1:8" x14ac:dyDescent="0.35">
      <c r="A28" s="366"/>
      <c r="B28" s="367" t="s">
        <v>72</v>
      </c>
      <c r="C28" s="373" t="s">
        <v>73</v>
      </c>
      <c r="D28" s="372" t="s">
        <v>25</v>
      </c>
      <c r="E28" s="43" t="s">
        <v>19</v>
      </c>
      <c r="F28" s="44" t="s">
        <v>19</v>
      </c>
      <c r="G28" s="43" t="s">
        <v>19</v>
      </c>
      <c r="H28" s="44" t="s">
        <v>19</v>
      </c>
    </row>
    <row r="29" spans="1:8" x14ac:dyDescent="0.35">
      <c r="A29" s="366"/>
      <c r="B29" s="367"/>
      <c r="C29" s="373"/>
      <c r="D29" s="372"/>
      <c r="E29" s="43" t="s">
        <v>13</v>
      </c>
      <c r="F29" s="44" t="s">
        <v>13</v>
      </c>
      <c r="G29" s="43" t="s">
        <v>13</v>
      </c>
      <c r="H29" s="44" t="s">
        <v>13</v>
      </c>
    </row>
    <row r="30" spans="1:8" x14ac:dyDescent="0.35">
      <c r="A30" s="366"/>
      <c r="B30" s="367"/>
      <c r="C30" s="373"/>
      <c r="D30" s="372"/>
      <c r="E30" s="43" t="s">
        <v>52</v>
      </c>
      <c r="F30" s="44" t="s">
        <v>52</v>
      </c>
      <c r="G30" s="43" t="s">
        <v>52</v>
      </c>
      <c r="H30" s="44" t="s">
        <v>52</v>
      </c>
    </row>
    <row r="31" spans="1:8" x14ac:dyDescent="0.35">
      <c r="A31" s="366"/>
      <c r="B31" s="367"/>
      <c r="C31" s="373"/>
      <c r="D31" s="372"/>
      <c r="E31" s="43" t="s">
        <v>37</v>
      </c>
      <c r="F31" s="44" t="s">
        <v>37</v>
      </c>
      <c r="G31" s="43" t="s">
        <v>37</v>
      </c>
      <c r="H31" s="44" t="s">
        <v>37</v>
      </c>
    </row>
    <row r="32" spans="1:8" ht="30" x14ac:dyDescent="0.35">
      <c r="A32" s="366" t="s">
        <v>74</v>
      </c>
      <c r="B32" s="367" t="s">
        <v>75</v>
      </c>
      <c r="C32" s="322" t="s">
        <v>76</v>
      </c>
      <c r="D32" s="321" t="s">
        <v>18</v>
      </c>
      <c r="E32" s="43" t="s">
        <v>77</v>
      </c>
      <c r="F32" s="44" t="s">
        <v>20</v>
      </c>
      <c r="G32" s="43" t="s">
        <v>28</v>
      </c>
      <c r="H32" s="44" t="s">
        <v>28</v>
      </c>
    </row>
    <row r="33" spans="1:8" ht="30" x14ac:dyDescent="0.35">
      <c r="A33" s="366"/>
      <c r="B33" s="367"/>
      <c r="C33" s="322" t="s">
        <v>78</v>
      </c>
      <c r="D33" s="321" t="s">
        <v>18</v>
      </c>
      <c r="E33" s="43" t="s">
        <v>77</v>
      </c>
      <c r="F33" s="44" t="s">
        <v>20</v>
      </c>
      <c r="G33" s="43" t="s">
        <v>28</v>
      </c>
      <c r="H33" s="44" t="s">
        <v>28</v>
      </c>
    </row>
    <row r="34" spans="1:8" ht="30" x14ac:dyDescent="0.35">
      <c r="A34" s="366"/>
      <c r="B34" s="367"/>
      <c r="C34" s="322" t="s">
        <v>79</v>
      </c>
      <c r="D34" s="321" t="s">
        <v>18</v>
      </c>
      <c r="E34" s="43" t="s">
        <v>77</v>
      </c>
      <c r="F34" s="44" t="s">
        <v>20</v>
      </c>
      <c r="G34" s="43" t="s">
        <v>28</v>
      </c>
      <c r="H34" s="44" t="s">
        <v>28</v>
      </c>
    </row>
    <row r="35" spans="1:8" ht="30" x14ac:dyDescent="0.35">
      <c r="A35" s="366"/>
      <c r="B35" s="318" t="s">
        <v>80</v>
      </c>
      <c r="C35" s="322" t="s">
        <v>81</v>
      </c>
      <c r="D35" s="321" t="s">
        <v>18</v>
      </c>
      <c r="E35" s="43" t="s">
        <v>82</v>
      </c>
      <c r="F35" s="44" t="s">
        <v>37</v>
      </c>
      <c r="G35" s="43" t="s">
        <v>57</v>
      </c>
      <c r="H35" s="44" t="s">
        <v>37</v>
      </c>
    </row>
    <row r="36" spans="1:8" ht="30" x14ac:dyDescent="0.35">
      <c r="A36" s="366"/>
      <c r="B36" s="318" t="s">
        <v>83</v>
      </c>
      <c r="C36" s="322" t="s">
        <v>84</v>
      </c>
      <c r="D36" s="321" t="s">
        <v>18</v>
      </c>
      <c r="E36" s="43" t="s">
        <v>71</v>
      </c>
      <c r="F36" s="44" t="s">
        <v>37</v>
      </c>
      <c r="G36" s="43" t="s">
        <v>71</v>
      </c>
      <c r="H36" s="44" t="s">
        <v>37</v>
      </c>
    </row>
    <row r="37" spans="1:8" ht="20" x14ac:dyDescent="0.35">
      <c r="A37" s="366"/>
      <c r="B37" s="318" t="s">
        <v>85</v>
      </c>
      <c r="C37" s="322" t="s">
        <v>86</v>
      </c>
      <c r="D37" s="321" t="s">
        <v>18</v>
      </c>
      <c r="E37" s="43" t="s">
        <v>71</v>
      </c>
      <c r="F37" s="44" t="s">
        <v>37</v>
      </c>
      <c r="G37" s="43" t="s">
        <v>71</v>
      </c>
      <c r="H37" s="44" t="s">
        <v>37</v>
      </c>
    </row>
    <row r="38" spans="1:8" x14ac:dyDescent="0.35">
      <c r="A38" s="366" t="s">
        <v>87</v>
      </c>
      <c r="B38" s="367" t="s">
        <v>88</v>
      </c>
      <c r="C38" s="373" t="s">
        <v>89</v>
      </c>
      <c r="D38" s="372" t="s">
        <v>18</v>
      </c>
      <c r="E38" s="43" t="s">
        <v>58</v>
      </c>
      <c r="F38" s="44" t="s">
        <v>58</v>
      </c>
      <c r="G38" s="43" t="s">
        <v>58</v>
      </c>
      <c r="H38" s="44" t="s">
        <v>58</v>
      </c>
    </row>
    <row r="39" spans="1:8" x14ac:dyDescent="0.35">
      <c r="A39" s="366"/>
      <c r="B39" s="367"/>
      <c r="C39" s="373"/>
      <c r="D39" s="372"/>
      <c r="E39" s="43" t="s">
        <v>13</v>
      </c>
      <c r="F39" s="44" t="s">
        <v>13</v>
      </c>
      <c r="G39" s="43" t="s">
        <v>13</v>
      </c>
      <c r="H39" s="44" t="s">
        <v>13</v>
      </c>
    </row>
    <row r="40" spans="1:8" x14ac:dyDescent="0.35">
      <c r="A40" s="366"/>
      <c r="B40" s="367" t="s">
        <v>90</v>
      </c>
      <c r="C40" s="373" t="s">
        <v>91</v>
      </c>
      <c r="D40" s="372" t="s">
        <v>18</v>
      </c>
      <c r="E40" s="43" t="s">
        <v>82</v>
      </c>
      <c r="F40" s="44" t="s">
        <v>20</v>
      </c>
      <c r="G40" s="43" t="s">
        <v>82</v>
      </c>
      <c r="H40" s="44" t="s">
        <v>20</v>
      </c>
    </row>
    <row r="41" spans="1:8" x14ac:dyDescent="0.35">
      <c r="A41" s="366"/>
      <c r="B41" s="367"/>
      <c r="C41" s="373"/>
      <c r="D41" s="372"/>
      <c r="E41" s="43" t="s">
        <v>92</v>
      </c>
      <c r="F41" s="44" t="s">
        <v>37</v>
      </c>
      <c r="G41" s="43" t="s">
        <v>92</v>
      </c>
      <c r="H41" s="44" t="s">
        <v>37</v>
      </c>
    </row>
    <row r="42" spans="1:8" ht="40" x14ac:dyDescent="0.35">
      <c r="A42" s="366"/>
      <c r="B42" s="318" t="s">
        <v>93</v>
      </c>
      <c r="C42" s="50" t="s">
        <v>94</v>
      </c>
      <c r="D42" s="321" t="s">
        <v>18</v>
      </c>
      <c r="E42" s="43" t="s">
        <v>19</v>
      </c>
      <c r="F42" s="44" t="s">
        <v>37</v>
      </c>
      <c r="G42" s="43" t="s">
        <v>19</v>
      </c>
      <c r="H42" s="44" t="s">
        <v>37</v>
      </c>
    </row>
    <row r="43" spans="1:8" ht="20" x14ac:dyDescent="0.35">
      <c r="A43" s="366" t="s">
        <v>95</v>
      </c>
      <c r="B43" s="367" t="s">
        <v>96</v>
      </c>
      <c r="C43" s="322" t="s">
        <v>97</v>
      </c>
      <c r="D43" s="321" t="s">
        <v>18</v>
      </c>
      <c r="E43" s="43" t="s">
        <v>71</v>
      </c>
      <c r="F43" s="44" t="s">
        <v>58</v>
      </c>
      <c r="G43" s="43" t="s">
        <v>71</v>
      </c>
      <c r="H43" s="44" t="s">
        <v>58</v>
      </c>
    </row>
    <row r="44" spans="1:8" ht="30" x14ac:dyDescent="0.35">
      <c r="A44" s="366"/>
      <c r="B44" s="367"/>
      <c r="C44" s="322" t="s">
        <v>98</v>
      </c>
      <c r="D44" s="321" t="s">
        <v>99</v>
      </c>
      <c r="E44" s="43" t="s">
        <v>71</v>
      </c>
      <c r="F44" s="44" t="s">
        <v>37</v>
      </c>
      <c r="G44" s="43" t="s">
        <v>71</v>
      </c>
      <c r="H44" s="44" t="s">
        <v>37</v>
      </c>
    </row>
    <row r="45" spans="1:8" ht="20" x14ac:dyDescent="0.35">
      <c r="A45" s="375" t="s">
        <v>100</v>
      </c>
      <c r="B45" s="376" t="s">
        <v>101</v>
      </c>
      <c r="C45" s="51" t="s">
        <v>102</v>
      </c>
      <c r="D45" s="323" t="s">
        <v>103</v>
      </c>
      <c r="E45" s="52" t="s">
        <v>104</v>
      </c>
      <c r="F45" s="53" t="s">
        <v>104</v>
      </c>
      <c r="G45" s="52" t="s">
        <v>104</v>
      </c>
      <c r="H45" s="53" t="s">
        <v>104</v>
      </c>
    </row>
    <row r="46" spans="1:8" ht="20" x14ac:dyDescent="0.35">
      <c r="A46" s="375"/>
      <c r="B46" s="376"/>
      <c r="C46" s="51" t="s">
        <v>105</v>
      </c>
      <c r="D46" s="323" t="s">
        <v>103</v>
      </c>
      <c r="E46" s="52" t="s">
        <v>104</v>
      </c>
      <c r="F46" s="53" t="s">
        <v>104</v>
      </c>
      <c r="G46" s="52" t="s">
        <v>104</v>
      </c>
      <c r="H46" s="53" t="s">
        <v>104</v>
      </c>
    </row>
    <row r="47" spans="1:8" ht="30" x14ac:dyDescent="0.35">
      <c r="A47" s="375"/>
      <c r="B47" s="376" t="s">
        <v>106</v>
      </c>
      <c r="C47" s="51" t="s">
        <v>107</v>
      </c>
      <c r="D47" s="378" t="s">
        <v>103</v>
      </c>
      <c r="E47" s="52" t="s">
        <v>104</v>
      </c>
      <c r="F47" s="53" t="s">
        <v>104</v>
      </c>
      <c r="G47" s="52" t="s">
        <v>104</v>
      </c>
      <c r="H47" s="53" t="s">
        <v>104</v>
      </c>
    </row>
    <row r="48" spans="1:8" ht="20" x14ac:dyDescent="0.35">
      <c r="A48" s="375"/>
      <c r="B48" s="376"/>
      <c r="C48" s="51" t="s">
        <v>108</v>
      </c>
      <c r="D48" s="378"/>
      <c r="E48" s="52" t="s">
        <v>104</v>
      </c>
      <c r="F48" s="53" t="s">
        <v>104</v>
      </c>
      <c r="G48" s="52" t="s">
        <v>104</v>
      </c>
      <c r="H48" s="53" t="s">
        <v>104</v>
      </c>
    </row>
    <row r="49" spans="1:8" ht="20" x14ac:dyDescent="0.35">
      <c r="A49" s="375"/>
      <c r="B49" s="376" t="s">
        <v>109</v>
      </c>
      <c r="C49" s="51" t="s">
        <v>110</v>
      </c>
      <c r="D49" s="323" t="s">
        <v>103</v>
      </c>
      <c r="E49" s="52" t="s">
        <v>104</v>
      </c>
      <c r="F49" s="53" t="s">
        <v>104</v>
      </c>
      <c r="G49" s="52" t="s">
        <v>104</v>
      </c>
      <c r="H49" s="53" t="s">
        <v>104</v>
      </c>
    </row>
    <row r="50" spans="1:8" ht="20" x14ac:dyDescent="0.35">
      <c r="A50" s="375"/>
      <c r="B50" s="376"/>
      <c r="C50" s="51" t="s">
        <v>111</v>
      </c>
      <c r="D50" s="323" t="s">
        <v>103</v>
      </c>
      <c r="E50" s="52" t="s">
        <v>104</v>
      </c>
      <c r="F50" s="53" t="s">
        <v>104</v>
      </c>
      <c r="G50" s="52" t="s">
        <v>104</v>
      </c>
      <c r="H50" s="53" t="s">
        <v>104</v>
      </c>
    </row>
    <row r="51" spans="1:8" ht="20" x14ac:dyDescent="0.35">
      <c r="A51" s="375"/>
      <c r="B51" s="376" t="s">
        <v>112</v>
      </c>
      <c r="C51" s="51" t="s">
        <v>113</v>
      </c>
      <c r="D51" s="323" t="s">
        <v>103</v>
      </c>
      <c r="E51" s="52" t="s">
        <v>104</v>
      </c>
      <c r="F51" s="53" t="s">
        <v>104</v>
      </c>
      <c r="G51" s="52" t="s">
        <v>104</v>
      </c>
      <c r="H51" s="53" t="s">
        <v>104</v>
      </c>
    </row>
    <row r="52" spans="1:8" ht="20" x14ac:dyDescent="0.35">
      <c r="A52" s="375"/>
      <c r="B52" s="376"/>
      <c r="C52" s="51" t="s">
        <v>114</v>
      </c>
      <c r="D52" s="323" t="s">
        <v>103</v>
      </c>
      <c r="E52" s="52" t="s">
        <v>104</v>
      </c>
      <c r="F52" s="53" t="s">
        <v>104</v>
      </c>
      <c r="G52" s="52" t="s">
        <v>104</v>
      </c>
      <c r="H52" s="53" t="s">
        <v>104</v>
      </c>
    </row>
    <row r="53" spans="1:8" ht="60" x14ac:dyDescent="0.35">
      <c r="A53" s="317" t="s">
        <v>115</v>
      </c>
      <c r="B53" s="318" t="s">
        <v>116</v>
      </c>
      <c r="C53" s="322" t="s">
        <v>117</v>
      </c>
      <c r="D53" s="321" t="s">
        <v>118</v>
      </c>
      <c r="E53" s="43" t="s">
        <v>71</v>
      </c>
      <c r="F53" s="44" t="s">
        <v>37</v>
      </c>
      <c r="G53" s="43" t="s">
        <v>71</v>
      </c>
      <c r="H53" s="44" t="s">
        <v>37</v>
      </c>
    </row>
    <row r="54" spans="1:8" ht="40" x14ac:dyDescent="0.35">
      <c r="A54" s="366" t="s">
        <v>119</v>
      </c>
      <c r="B54" s="367" t="s">
        <v>120</v>
      </c>
      <c r="C54" s="322" t="s">
        <v>121</v>
      </c>
      <c r="D54" s="321" t="s">
        <v>122</v>
      </c>
      <c r="E54" s="43" t="s">
        <v>49</v>
      </c>
      <c r="F54" s="44" t="s">
        <v>52</v>
      </c>
      <c r="G54" s="43" t="s">
        <v>49</v>
      </c>
      <c r="H54" s="44" t="s">
        <v>52</v>
      </c>
    </row>
    <row r="55" spans="1:8" ht="50" x14ac:dyDescent="0.35">
      <c r="A55" s="366"/>
      <c r="B55" s="367"/>
      <c r="C55" s="322" t="s">
        <v>123</v>
      </c>
      <c r="D55" s="321" t="s">
        <v>122</v>
      </c>
      <c r="E55" s="43" t="s">
        <v>28</v>
      </c>
      <c r="F55" s="44" t="s">
        <v>28</v>
      </c>
      <c r="G55" s="43" t="s">
        <v>49</v>
      </c>
      <c r="H55" s="44" t="s">
        <v>37</v>
      </c>
    </row>
    <row r="56" spans="1:8" x14ac:dyDescent="0.35">
      <c r="A56" s="366"/>
      <c r="B56" s="367" t="s">
        <v>124</v>
      </c>
      <c r="C56" s="367" t="s">
        <v>125</v>
      </c>
      <c r="D56" s="372" t="s">
        <v>118</v>
      </c>
      <c r="E56" s="43" t="s">
        <v>58</v>
      </c>
      <c r="F56" s="44" t="s">
        <v>58</v>
      </c>
      <c r="G56" s="43" t="s">
        <v>58</v>
      </c>
      <c r="H56" s="44" t="s">
        <v>58</v>
      </c>
    </row>
    <row r="57" spans="1:8" x14ac:dyDescent="0.35">
      <c r="A57" s="366"/>
      <c r="B57" s="367"/>
      <c r="C57" s="367"/>
      <c r="D57" s="372"/>
      <c r="E57" s="43" t="s">
        <v>20</v>
      </c>
      <c r="F57" s="44" t="s">
        <v>20</v>
      </c>
      <c r="G57" s="43" t="s">
        <v>20</v>
      </c>
      <c r="H57" s="44" t="s">
        <v>20</v>
      </c>
    </row>
    <row r="58" spans="1:8" x14ac:dyDescent="0.35">
      <c r="A58" s="366"/>
      <c r="B58" s="367"/>
      <c r="C58" s="367"/>
      <c r="D58" s="372"/>
      <c r="E58" s="43" t="s">
        <v>14</v>
      </c>
      <c r="F58" s="44" t="s">
        <v>14</v>
      </c>
      <c r="G58" s="43" t="s">
        <v>14</v>
      </c>
      <c r="H58" s="44" t="s">
        <v>14</v>
      </c>
    </row>
    <row r="59" spans="1:8" x14ac:dyDescent="0.35">
      <c r="A59" s="366"/>
      <c r="B59" s="367"/>
      <c r="C59" s="367"/>
      <c r="D59" s="372"/>
      <c r="E59" s="43" t="s">
        <v>37</v>
      </c>
      <c r="F59" s="44" t="s">
        <v>37</v>
      </c>
      <c r="G59" s="43" t="s">
        <v>37</v>
      </c>
      <c r="H59" s="44" t="s">
        <v>37</v>
      </c>
    </row>
    <row r="60" spans="1:8" ht="50" x14ac:dyDescent="0.35">
      <c r="A60" s="317" t="s">
        <v>126</v>
      </c>
      <c r="B60" s="318" t="s">
        <v>127</v>
      </c>
      <c r="C60" s="322" t="s">
        <v>128</v>
      </c>
      <c r="D60" s="321" t="s">
        <v>18</v>
      </c>
      <c r="E60" s="43" t="s">
        <v>58</v>
      </c>
      <c r="F60" s="44" t="s">
        <v>37</v>
      </c>
      <c r="G60" s="43" t="s">
        <v>58</v>
      </c>
      <c r="H60" s="44" t="s">
        <v>37</v>
      </c>
    </row>
    <row r="61" spans="1:8" ht="30.5" thickBot="1" x14ac:dyDescent="0.4">
      <c r="A61" s="54" t="s">
        <v>129</v>
      </c>
      <c r="B61" s="55" t="s">
        <v>130</v>
      </c>
      <c r="C61" s="56" t="s">
        <v>131</v>
      </c>
      <c r="D61" s="57" t="s">
        <v>25</v>
      </c>
      <c r="E61" s="58" t="s">
        <v>52</v>
      </c>
      <c r="F61" s="59" t="s">
        <v>37</v>
      </c>
      <c r="G61" s="58" t="s">
        <v>52</v>
      </c>
      <c r="H61" s="59" t="s">
        <v>37</v>
      </c>
    </row>
    <row r="63" spans="1:8" x14ac:dyDescent="0.35">
      <c r="A63" s="374" t="s">
        <v>132</v>
      </c>
      <c r="B63" s="374"/>
      <c r="C63" s="374"/>
    </row>
    <row r="64" spans="1:8" x14ac:dyDescent="0.35">
      <c r="A64" s="379" t="s">
        <v>133</v>
      </c>
      <c r="B64" s="379"/>
      <c r="C64" s="379"/>
    </row>
    <row r="65" spans="1:3" x14ac:dyDescent="0.35">
      <c r="A65" s="374" t="s">
        <v>134</v>
      </c>
      <c r="B65" s="374"/>
      <c r="C65" s="374"/>
    </row>
    <row r="66" spans="1:3" x14ac:dyDescent="0.35">
      <c r="A66" s="374" t="s">
        <v>135</v>
      </c>
      <c r="B66" s="374"/>
      <c r="C66" s="374"/>
    </row>
    <row r="67" spans="1:3" x14ac:dyDescent="0.35">
      <c r="A67" s="374" t="s">
        <v>136</v>
      </c>
      <c r="B67" s="374"/>
      <c r="C67" s="374"/>
    </row>
    <row r="68" spans="1:3" x14ac:dyDescent="0.35">
      <c r="A68" s="374" t="s">
        <v>137</v>
      </c>
      <c r="B68" s="374"/>
      <c r="C68" s="374"/>
    </row>
  </sheetData>
  <mergeCells count="48">
    <mergeCell ref="A64:C64"/>
    <mergeCell ref="A65:C65"/>
    <mergeCell ref="A66:C66"/>
    <mergeCell ref="A67:C67"/>
    <mergeCell ref="A68:C68"/>
    <mergeCell ref="A2:H2"/>
    <mergeCell ref="A54:A59"/>
    <mergeCell ref="B54:B55"/>
    <mergeCell ref="B56:B59"/>
    <mergeCell ref="C56:C59"/>
    <mergeCell ref="D56:D59"/>
    <mergeCell ref="D47:D48"/>
    <mergeCell ref="A32:A37"/>
    <mergeCell ref="B32:B34"/>
    <mergeCell ref="A38:A42"/>
    <mergeCell ref="B38:B39"/>
    <mergeCell ref="C38:C39"/>
    <mergeCell ref="D38:D39"/>
    <mergeCell ref="B40:B41"/>
    <mergeCell ref="C40:C41"/>
    <mergeCell ref="D40:D41"/>
    <mergeCell ref="A63:C63"/>
    <mergeCell ref="A43:A44"/>
    <mergeCell ref="B43:B44"/>
    <mergeCell ref="A45:A52"/>
    <mergeCell ref="B45:B46"/>
    <mergeCell ref="B47:B48"/>
    <mergeCell ref="B49:B50"/>
    <mergeCell ref="B51:B52"/>
    <mergeCell ref="A17:A31"/>
    <mergeCell ref="B19:B20"/>
    <mergeCell ref="B23:B26"/>
    <mergeCell ref="C23:C26"/>
    <mergeCell ref="D23:D26"/>
    <mergeCell ref="B28:B31"/>
    <mergeCell ref="C28:C31"/>
    <mergeCell ref="D28:D31"/>
    <mergeCell ref="E4:F4"/>
    <mergeCell ref="G4:H4"/>
    <mergeCell ref="A7:A8"/>
    <mergeCell ref="B7:B8"/>
    <mergeCell ref="A9:A15"/>
    <mergeCell ref="B10:B11"/>
    <mergeCell ref="B12:B14"/>
    <mergeCell ref="A4:A5"/>
    <mergeCell ref="B4:B5"/>
    <mergeCell ref="C4:C5"/>
    <mergeCell ref="D4:D5"/>
  </mergeCell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C5DA3-5A11-4EA2-832A-B99CD4229E12}">
  <sheetPr codeName="Hoja2"/>
  <dimension ref="B1:O30"/>
  <sheetViews>
    <sheetView zoomScale="85" zoomScaleNormal="85" zoomScalePageLayoutView="66" workbookViewId="0">
      <selection activeCell="B5" sqref="B5:G30"/>
    </sheetView>
  </sheetViews>
  <sheetFormatPr baseColWidth="10" defaultColWidth="11.453125" defaultRowHeight="14.5" x14ac:dyDescent="0.35"/>
  <cols>
    <col min="1" max="1" width="3.54296875" style="29" customWidth="1"/>
    <col min="2" max="6" width="11.453125" style="29"/>
    <col min="7" max="7" width="32.1796875" style="29" customWidth="1"/>
    <col min="8" max="8" width="4.26953125" style="29" customWidth="1"/>
    <col min="9" max="9" width="5.1796875" style="29" customWidth="1"/>
    <col min="10" max="13" width="11.453125" style="29"/>
    <col min="14" max="14" width="18.453125" style="29" customWidth="1"/>
    <col min="15" max="15" width="21.81640625" style="29" customWidth="1"/>
    <col min="16" max="16384" width="11.453125" style="29"/>
  </cols>
  <sheetData>
    <row r="1" spans="2:15" x14ac:dyDescent="0.35">
      <c r="E1" s="389" t="s">
        <v>138</v>
      </c>
      <c r="F1" s="389"/>
      <c r="G1" s="389"/>
      <c r="H1" s="389"/>
      <c r="I1" s="389"/>
      <c r="J1" s="389"/>
      <c r="K1" s="389"/>
      <c r="L1" s="389"/>
    </row>
    <row r="2" spans="2:15" x14ac:dyDescent="0.35">
      <c r="E2" s="389"/>
      <c r="F2" s="389"/>
      <c r="G2" s="389"/>
      <c r="H2" s="389"/>
      <c r="I2" s="389"/>
      <c r="J2" s="389"/>
      <c r="K2" s="389"/>
      <c r="L2" s="389"/>
    </row>
    <row r="3" spans="2:15" x14ac:dyDescent="0.35">
      <c r="E3" s="389"/>
      <c r="F3" s="389"/>
      <c r="G3" s="389"/>
      <c r="H3" s="389"/>
      <c r="I3" s="389"/>
      <c r="J3" s="389"/>
      <c r="K3" s="389"/>
      <c r="L3" s="389"/>
    </row>
    <row r="4" spans="2:15" ht="9" customHeight="1" thickBot="1" x14ac:dyDescent="0.4">
      <c r="E4" s="389"/>
      <c r="F4" s="389"/>
      <c r="G4" s="389"/>
      <c r="H4" s="389"/>
      <c r="I4" s="389"/>
      <c r="J4" s="389"/>
      <c r="K4" s="389"/>
      <c r="L4" s="389"/>
    </row>
    <row r="5" spans="2:15" ht="15" customHeight="1" x14ac:dyDescent="0.35">
      <c r="B5" s="380" t="s">
        <v>139</v>
      </c>
      <c r="C5" s="381"/>
      <c r="D5" s="381"/>
      <c r="E5" s="381"/>
      <c r="F5" s="381"/>
      <c r="G5" s="382"/>
      <c r="J5" s="380" t="s">
        <v>140</v>
      </c>
      <c r="K5" s="381"/>
      <c r="L5" s="381"/>
      <c r="M5" s="381"/>
      <c r="N5" s="381"/>
      <c r="O5" s="382"/>
    </row>
    <row r="6" spans="2:15" x14ac:dyDescent="0.35">
      <c r="B6" s="383"/>
      <c r="C6" s="384"/>
      <c r="D6" s="384"/>
      <c r="E6" s="384"/>
      <c r="F6" s="384"/>
      <c r="G6" s="385"/>
      <c r="J6" s="383"/>
      <c r="K6" s="384"/>
      <c r="L6" s="384"/>
      <c r="M6" s="384"/>
      <c r="N6" s="384"/>
      <c r="O6" s="385"/>
    </row>
    <row r="7" spans="2:15" x14ac:dyDescent="0.35">
      <c r="B7" s="383"/>
      <c r="C7" s="384"/>
      <c r="D7" s="384"/>
      <c r="E7" s="384"/>
      <c r="F7" s="384"/>
      <c r="G7" s="385"/>
      <c r="J7" s="383"/>
      <c r="K7" s="384"/>
      <c r="L7" s="384"/>
      <c r="M7" s="384"/>
      <c r="N7" s="384"/>
      <c r="O7" s="385"/>
    </row>
    <row r="8" spans="2:15" x14ac:dyDescent="0.35">
      <c r="B8" s="383"/>
      <c r="C8" s="384"/>
      <c r="D8" s="384"/>
      <c r="E8" s="384"/>
      <c r="F8" s="384"/>
      <c r="G8" s="385"/>
      <c r="J8" s="383"/>
      <c r="K8" s="384"/>
      <c r="L8" s="384"/>
      <c r="M8" s="384"/>
      <c r="N8" s="384"/>
      <c r="O8" s="385"/>
    </row>
    <row r="9" spans="2:15" x14ac:dyDescent="0.35">
      <c r="B9" s="383"/>
      <c r="C9" s="384"/>
      <c r="D9" s="384"/>
      <c r="E9" s="384"/>
      <c r="F9" s="384"/>
      <c r="G9" s="385"/>
      <c r="J9" s="383"/>
      <c r="K9" s="384"/>
      <c r="L9" s="384"/>
      <c r="M9" s="384"/>
      <c r="N9" s="384"/>
      <c r="O9" s="385"/>
    </row>
    <row r="10" spans="2:15" x14ac:dyDescent="0.35">
      <c r="B10" s="383"/>
      <c r="C10" s="384"/>
      <c r="D10" s="384"/>
      <c r="E10" s="384"/>
      <c r="F10" s="384"/>
      <c r="G10" s="385"/>
      <c r="J10" s="383"/>
      <c r="K10" s="384"/>
      <c r="L10" s="384"/>
      <c r="M10" s="384"/>
      <c r="N10" s="384"/>
      <c r="O10" s="385"/>
    </row>
    <row r="11" spans="2:15" x14ac:dyDescent="0.35">
      <c r="B11" s="383"/>
      <c r="C11" s="384"/>
      <c r="D11" s="384"/>
      <c r="E11" s="384"/>
      <c r="F11" s="384"/>
      <c r="G11" s="385"/>
      <c r="J11" s="383"/>
      <c r="K11" s="384"/>
      <c r="L11" s="384"/>
      <c r="M11" s="384"/>
      <c r="N11" s="384"/>
      <c r="O11" s="385"/>
    </row>
    <row r="12" spans="2:15" x14ac:dyDescent="0.35">
      <c r="B12" s="383"/>
      <c r="C12" s="384"/>
      <c r="D12" s="384"/>
      <c r="E12" s="384"/>
      <c r="F12" s="384"/>
      <c r="G12" s="385"/>
      <c r="J12" s="383"/>
      <c r="K12" s="384"/>
      <c r="L12" s="384"/>
      <c r="M12" s="384"/>
      <c r="N12" s="384"/>
      <c r="O12" s="385"/>
    </row>
    <row r="13" spans="2:15" x14ac:dyDescent="0.35">
      <c r="B13" s="383"/>
      <c r="C13" s="384"/>
      <c r="D13" s="384"/>
      <c r="E13" s="384"/>
      <c r="F13" s="384"/>
      <c r="G13" s="385"/>
      <c r="J13" s="383"/>
      <c r="K13" s="384"/>
      <c r="L13" s="384"/>
      <c r="M13" s="384"/>
      <c r="N13" s="384"/>
      <c r="O13" s="385"/>
    </row>
    <row r="14" spans="2:15" x14ac:dyDescent="0.35">
      <c r="B14" s="383"/>
      <c r="C14" s="384"/>
      <c r="D14" s="384"/>
      <c r="E14" s="384"/>
      <c r="F14" s="384"/>
      <c r="G14" s="385"/>
      <c r="J14" s="383"/>
      <c r="K14" s="384"/>
      <c r="L14" s="384"/>
      <c r="M14" s="384"/>
      <c r="N14" s="384"/>
      <c r="O14" s="385"/>
    </row>
    <row r="15" spans="2:15" x14ac:dyDescent="0.35">
      <c r="B15" s="383"/>
      <c r="C15" s="384"/>
      <c r="D15" s="384"/>
      <c r="E15" s="384"/>
      <c r="F15" s="384"/>
      <c r="G15" s="385"/>
      <c r="J15" s="383"/>
      <c r="K15" s="384"/>
      <c r="L15" s="384"/>
      <c r="M15" s="384"/>
      <c r="N15" s="384"/>
      <c r="O15" s="385"/>
    </row>
    <row r="16" spans="2:15" x14ac:dyDescent="0.35">
      <c r="B16" s="383"/>
      <c r="C16" s="384"/>
      <c r="D16" s="384"/>
      <c r="E16" s="384"/>
      <c r="F16" s="384"/>
      <c r="G16" s="385"/>
      <c r="J16" s="383"/>
      <c r="K16" s="384"/>
      <c r="L16" s="384"/>
      <c r="M16" s="384"/>
      <c r="N16" s="384"/>
      <c r="O16" s="385"/>
    </row>
    <row r="17" spans="2:15" x14ac:dyDescent="0.35">
      <c r="B17" s="383"/>
      <c r="C17" s="384"/>
      <c r="D17" s="384"/>
      <c r="E17" s="384"/>
      <c r="F17" s="384"/>
      <c r="G17" s="385"/>
      <c r="J17" s="383"/>
      <c r="K17" s="384"/>
      <c r="L17" s="384"/>
      <c r="M17" s="384"/>
      <c r="N17" s="384"/>
      <c r="O17" s="385"/>
    </row>
    <row r="18" spans="2:15" x14ac:dyDescent="0.35">
      <c r="B18" s="383"/>
      <c r="C18" s="384"/>
      <c r="D18" s="384"/>
      <c r="E18" s="384"/>
      <c r="F18" s="384"/>
      <c r="G18" s="385"/>
      <c r="J18" s="383"/>
      <c r="K18" s="384"/>
      <c r="L18" s="384"/>
      <c r="M18" s="384"/>
      <c r="N18" s="384"/>
      <c r="O18" s="385"/>
    </row>
    <row r="19" spans="2:15" x14ac:dyDescent="0.35">
      <c r="B19" s="383"/>
      <c r="C19" s="384"/>
      <c r="D19" s="384"/>
      <c r="E19" s="384"/>
      <c r="F19" s="384"/>
      <c r="G19" s="385"/>
      <c r="J19" s="383"/>
      <c r="K19" s="384"/>
      <c r="L19" s="384"/>
      <c r="M19" s="384"/>
      <c r="N19" s="384"/>
      <c r="O19" s="385"/>
    </row>
    <row r="20" spans="2:15" x14ac:dyDescent="0.35">
      <c r="B20" s="383"/>
      <c r="C20" s="384"/>
      <c r="D20" s="384"/>
      <c r="E20" s="384"/>
      <c r="F20" s="384"/>
      <c r="G20" s="385"/>
      <c r="J20" s="383"/>
      <c r="K20" s="384"/>
      <c r="L20" s="384"/>
      <c r="M20" s="384"/>
      <c r="N20" s="384"/>
      <c r="O20" s="385"/>
    </row>
    <row r="21" spans="2:15" x14ac:dyDescent="0.35">
      <c r="B21" s="383"/>
      <c r="C21" s="384"/>
      <c r="D21" s="384"/>
      <c r="E21" s="384"/>
      <c r="F21" s="384"/>
      <c r="G21" s="385"/>
      <c r="J21" s="383"/>
      <c r="K21" s="384"/>
      <c r="L21" s="384"/>
      <c r="M21" s="384"/>
      <c r="N21" s="384"/>
      <c r="O21" s="385"/>
    </row>
    <row r="22" spans="2:15" x14ac:dyDescent="0.35">
      <c r="B22" s="383"/>
      <c r="C22" s="384"/>
      <c r="D22" s="384"/>
      <c r="E22" s="384"/>
      <c r="F22" s="384"/>
      <c r="G22" s="385"/>
      <c r="J22" s="383"/>
      <c r="K22" s="384"/>
      <c r="L22" s="384"/>
      <c r="M22" s="384"/>
      <c r="N22" s="384"/>
      <c r="O22" s="385"/>
    </row>
    <row r="23" spans="2:15" x14ac:dyDescent="0.35">
      <c r="B23" s="383"/>
      <c r="C23" s="384"/>
      <c r="D23" s="384"/>
      <c r="E23" s="384"/>
      <c r="F23" s="384"/>
      <c r="G23" s="385"/>
      <c r="J23" s="383"/>
      <c r="K23" s="384"/>
      <c r="L23" s="384"/>
      <c r="M23" s="384"/>
      <c r="N23" s="384"/>
      <c r="O23" s="385"/>
    </row>
    <row r="24" spans="2:15" x14ac:dyDescent="0.35">
      <c r="B24" s="383"/>
      <c r="C24" s="384"/>
      <c r="D24" s="384"/>
      <c r="E24" s="384"/>
      <c r="F24" s="384"/>
      <c r="G24" s="385"/>
      <c r="J24" s="383"/>
      <c r="K24" s="384"/>
      <c r="L24" s="384"/>
      <c r="M24" s="384"/>
      <c r="N24" s="384"/>
      <c r="O24" s="385"/>
    </row>
    <row r="25" spans="2:15" x14ac:dyDescent="0.35">
      <c r="B25" s="383"/>
      <c r="C25" s="384"/>
      <c r="D25" s="384"/>
      <c r="E25" s="384"/>
      <c r="F25" s="384"/>
      <c r="G25" s="385"/>
      <c r="J25" s="383"/>
      <c r="K25" s="384"/>
      <c r="L25" s="384"/>
      <c r="M25" s="384"/>
      <c r="N25" s="384"/>
      <c r="O25" s="385"/>
    </row>
    <row r="26" spans="2:15" x14ac:dyDescent="0.35">
      <c r="B26" s="383"/>
      <c r="C26" s="384"/>
      <c r="D26" s="384"/>
      <c r="E26" s="384"/>
      <c r="F26" s="384"/>
      <c r="G26" s="385"/>
      <c r="J26" s="383"/>
      <c r="K26" s="384"/>
      <c r="L26" s="384"/>
      <c r="M26" s="384"/>
      <c r="N26" s="384"/>
      <c r="O26" s="385"/>
    </row>
    <row r="27" spans="2:15" x14ac:dyDescent="0.35">
      <c r="B27" s="383"/>
      <c r="C27" s="384"/>
      <c r="D27" s="384"/>
      <c r="E27" s="384"/>
      <c r="F27" s="384"/>
      <c r="G27" s="385"/>
      <c r="J27" s="383"/>
      <c r="K27" s="384"/>
      <c r="L27" s="384"/>
      <c r="M27" s="384"/>
      <c r="N27" s="384"/>
      <c r="O27" s="385"/>
    </row>
    <row r="28" spans="2:15" x14ac:dyDescent="0.35">
      <c r="B28" s="383"/>
      <c r="C28" s="384"/>
      <c r="D28" s="384"/>
      <c r="E28" s="384"/>
      <c r="F28" s="384"/>
      <c r="G28" s="385"/>
      <c r="J28" s="383"/>
      <c r="K28" s="384"/>
      <c r="L28" s="384"/>
      <c r="M28" s="384"/>
      <c r="N28" s="384"/>
      <c r="O28" s="385"/>
    </row>
    <row r="29" spans="2:15" x14ac:dyDescent="0.35">
      <c r="B29" s="383"/>
      <c r="C29" s="384"/>
      <c r="D29" s="384"/>
      <c r="E29" s="384"/>
      <c r="F29" s="384"/>
      <c r="G29" s="385"/>
      <c r="J29" s="383"/>
      <c r="K29" s="384"/>
      <c r="L29" s="384"/>
      <c r="M29" s="384"/>
      <c r="N29" s="384"/>
      <c r="O29" s="385"/>
    </row>
    <row r="30" spans="2:15" ht="25.5" customHeight="1" thickBot="1" x14ac:dyDescent="0.4">
      <c r="B30" s="386"/>
      <c r="C30" s="387"/>
      <c r="D30" s="387"/>
      <c r="E30" s="387"/>
      <c r="F30" s="387"/>
      <c r="G30" s="388"/>
      <c r="J30" s="386"/>
      <c r="K30" s="387"/>
      <c r="L30" s="387"/>
      <c r="M30" s="387"/>
      <c r="N30" s="387"/>
      <c r="O30" s="388"/>
    </row>
  </sheetData>
  <mergeCells count="3">
    <mergeCell ref="B5:G30"/>
    <mergeCell ref="J5:O30"/>
    <mergeCell ref="E1:L4"/>
  </mergeCells>
  <pageMargins left="0.7" right="0.7" top="0.75" bottom="0.75" header="0.3" footer="0.3"/>
  <pageSetup paperSize="9" scale="48" orientation="portrait" horizontalDpi="0" verticalDpi="0" r:id="rId1"/>
  <headerFooter>
    <oddFooter>&amp;L11PPL01-V1 AUTODIAGNÓSTICO _ISO 9001_2015  Julio 14</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1441A-531D-4352-B89E-B1DBE44BE229}">
  <sheetPr codeName="Hoja3">
    <pageSetUpPr fitToPage="1"/>
  </sheetPr>
  <dimension ref="B1:L52"/>
  <sheetViews>
    <sheetView zoomScale="70" zoomScaleNormal="70" zoomScaleSheetLayoutView="70" workbookViewId="0">
      <selection activeCell="E5" sqref="E5"/>
    </sheetView>
  </sheetViews>
  <sheetFormatPr baseColWidth="10" defaultColWidth="11.453125" defaultRowHeight="15.5" x14ac:dyDescent="0.35"/>
  <cols>
    <col min="1" max="1" width="4.26953125" style="77" customWidth="1"/>
    <col min="2" max="2" width="59.453125" style="77" customWidth="1"/>
    <col min="3" max="3" width="7.7265625" style="78" customWidth="1"/>
    <col min="4" max="4" width="10.81640625" style="78" customWidth="1"/>
    <col min="5" max="6" width="10.453125" style="78" customWidth="1"/>
    <col min="7" max="7" width="53" style="77" customWidth="1"/>
    <col min="8" max="8" width="63.1796875" style="77" customWidth="1"/>
    <col min="9" max="9" width="72.1796875" style="77" customWidth="1"/>
    <col min="10" max="10" width="30" style="77" customWidth="1"/>
    <col min="11" max="11" width="30.453125" style="290" customWidth="1"/>
    <col min="12" max="16384" width="11.453125" style="77"/>
  </cols>
  <sheetData>
    <row r="1" spans="2:12" x14ac:dyDescent="0.35">
      <c r="B1" s="404" t="s">
        <v>141</v>
      </c>
      <c r="C1" s="405"/>
      <c r="D1" s="405"/>
      <c r="E1" s="405"/>
      <c r="F1" s="405"/>
      <c r="G1" s="405"/>
      <c r="H1" s="405"/>
      <c r="I1" s="405"/>
      <c r="J1" s="406"/>
    </row>
    <row r="2" spans="2:12" ht="16" thickBot="1" x14ac:dyDescent="0.4">
      <c r="B2" s="135"/>
      <c r="J2" s="105"/>
    </row>
    <row r="3" spans="2:12" s="78" customFormat="1" ht="31.5" thickBot="1" x14ac:dyDescent="0.4">
      <c r="B3" s="79" t="s">
        <v>142</v>
      </c>
      <c r="C3" s="79" t="s">
        <v>143</v>
      </c>
      <c r="D3" s="80" t="s">
        <v>144</v>
      </c>
      <c r="E3" s="81" t="s">
        <v>145</v>
      </c>
      <c r="F3" s="82" t="s">
        <v>146</v>
      </c>
      <c r="G3" s="83" t="s">
        <v>147</v>
      </c>
      <c r="H3" s="84" t="s">
        <v>148</v>
      </c>
      <c r="I3" s="84" t="s">
        <v>149</v>
      </c>
      <c r="J3" s="84" t="s">
        <v>150</v>
      </c>
      <c r="K3" s="291"/>
    </row>
    <row r="4" spans="2:12" ht="93" customHeight="1" x14ac:dyDescent="0.35">
      <c r="B4" s="136" t="s">
        <v>151</v>
      </c>
      <c r="C4" s="325"/>
      <c r="D4" s="392">
        <f>((D6*1)+(E6*0.5)+(F6*0))/1</f>
        <v>0.5</v>
      </c>
      <c r="E4" s="393"/>
      <c r="F4" s="393"/>
      <c r="G4" s="324"/>
      <c r="H4" s="324"/>
      <c r="I4" s="324"/>
      <c r="J4" s="397" t="s">
        <v>152</v>
      </c>
    </row>
    <row r="5" spans="2:12" ht="249.65" customHeight="1" thickBot="1" x14ac:dyDescent="0.4">
      <c r="B5" s="138" t="s">
        <v>153</v>
      </c>
      <c r="C5" s="139"/>
      <c r="D5" s="85"/>
      <c r="E5" s="86" t="s">
        <v>154</v>
      </c>
      <c r="F5" s="87"/>
      <c r="G5" s="76" t="s">
        <v>155</v>
      </c>
      <c r="H5" s="76" t="s">
        <v>156</v>
      </c>
      <c r="I5" s="76" t="s">
        <v>157</v>
      </c>
      <c r="J5" s="403"/>
    </row>
    <row r="6" spans="2:12" ht="16" thickBot="1" x14ac:dyDescent="0.4">
      <c r="B6" s="140"/>
      <c r="C6" s="88"/>
      <c r="D6" s="89">
        <f>COUNTIF(D5,"X")</f>
        <v>0</v>
      </c>
      <c r="E6" s="90">
        <f>COUNTIF(E5,"X")</f>
        <v>1</v>
      </c>
      <c r="F6" s="91">
        <f>COUNTIF(F5,"X")</f>
        <v>0</v>
      </c>
      <c r="G6" s="92"/>
      <c r="H6" s="93"/>
      <c r="J6" s="105"/>
    </row>
    <row r="7" spans="2:12" ht="31" customHeight="1" x14ac:dyDescent="0.35">
      <c r="B7" s="141" t="s">
        <v>158</v>
      </c>
      <c r="C7" s="407"/>
      <c r="D7" s="392">
        <f>((D12*1)+(E12*0.5)+(F12*0))/3</f>
        <v>0</v>
      </c>
      <c r="E7" s="393"/>
      <c r="F7" s="393"/>
      <c r="G7" s="401"/>
      <c r="H7" s="401"/>
      <c r="I7" s="399"/>
      <c r="J7" s="397" t="s">
        <v>159</v>
      </c>
    </row>
    <row r="8" spans="2:12" x14ac:dyDescent="0.35">
      <c r="B8" s="137" t="s">
        <v>160</v>
      </c>
      <c r="C8" s="408"/>
      <c r="D8" s="394"/>
      <c r="E8" s="395"/>
      <c r="F8" s="395"/>
      <c r="G8" s="401"/>
      <c r="H8" s="401"/>
      <c r="I8" s="400"/>
      <c r="J8" s="402"/>
    </row>
    <row r="9" spans="2:12" ht="31" x14ac:dyDescent="0.35">
      <c r="B9" s="142" t="s">
        <v>161</v>
      </c>
      <c r="C9" s="143"/>
      <c r="D9" s="94"/>
      <c r="E9" s="95"/>
      <c r="F9" s="96" t="s">
        <v>154</v>
      </c>
      <c r="G9" s="396" t="s">
        <v>162</v>
      </c>
      <c r="H9" s="396" t="s">
        <v>163</v>
      </c>
      <c r="I9" s="396" t="s">
        <v>164</v>
      </c>
      <c r="J9" s="402"/>
      <c r="L9" s="409"/>
    </row>
    <row r="10" spans="2:12" ht="46.5" x14ac:dyDescent="0.35">
      <c r="B10" s="142" t="s">
        <v>165</v>
      </c>
      <c r="C10" s="143"/>
      <c r="D10" s="94"/>
      <c r="E10" s="95"/>
      <c r="F10" s="96" t="s">
        <v>154</v>
      </c>
      <c r="G10" s="396"/>
      <c r="H10" s="396"/>
      <c r="I10" s="396"/>
      <c r="J10" s="402"/>
      <c r="L10" s="410"/>
    </row>
    <row r="11" spans="2:12" ht="294.64999999999998" customHeight="1" thickBot="1" x14ac:dyDescent="0.4">
      <c r="B11" s="144" t="s">
        <v>166</v>
      </c>
      <c r="C11" s="145"/>
      <c r="D11" s="116"/>
      <c r="E11" s="117"/>
      <c r="F11" s="118" t="s">
        <v>154</v>
      </c>
      <c r="G11" s="396"/>
      <c r="H11" s="396"/>
      <c r="I11" s="396"/>
      <c r="J11" s="403"/>
      <c r="L11" s="78"/>
    </row>
    <row r="12" spans="2:12" ht="16" thickBot="1" x14ac:dyDescent="0.4">
      <c r="B12" s="140"/>
      <c r="C12" s="88"/>
      <c r="D12" s="89">
        <f>COUNTIF(D9:D11,"X")</f>
        <v>0</v>
      </c>
      <c r="E12" s="90">
        <f>COUNTIF(E9:E11,"X")</f>
        <v>0</v>
      </c>
      <c r="F12" s="91">
        <f>COUNTIF(F9:F11,"X")</f>
        <v>3</v>
      </c>
      <c r="G12" s="92"/>
      <c r="H12" s="93"/>
      <c r="J12" s="105"/>
    </row>
    <row r="13" spans="2:12" ht="31" customHeight="1" x14ac:dyDescent="0.35">
      <c r="B13" s="136" t="s">
        <v>167</v>
      </c>
      <c r="C13" s="407"/>
      <c r="D13" s="392">
        <f>((D20*1)+(E20*0.5)+(F20*0))/5</f>
        <v>0.3</v>
      </c>
      <c r="E13" s="393"/>
      <c r="F13" s="393"/>
      <c r="G13" s="401"/>
      <c r="H13" s="401" t="s">
        <v>168</v>
      </c>
      <c r="I13" s="399"/>
      <c r="J13" s="397" t="s">
        <v>159</v>
      </c>
    </row>
    <row r="14" spans="2:12" x14ac:dyDescent="0.35">
      <c r="B14" s="146"/>
      <c r="C14" s="408"/>
      <c r="D14" s="394"/>
      <c r="E14" s="395"/>
      <c r="F14" s="395"/>
      <c r="G14" s="401"/>
      <c r="H14" s="401"/>
      <c r="I14" s="400"/>
      <c r="J14" s="402"/>
    </row>
    <row r="15" spans="2:12" ht="232.5" x14ac:dyDescent="0.35">
      <c r="B15" s="142" t="s">
        <v>169</v>
      </c>
      <c r="C15" s="147"/>
      <c r="D15" s="94"/>
      <c r="E15" s="95" t="s">
        <v>154</v>
      </c>
      <c r="F15" s="96"/>
      <c r="G15" s="76" t="s">
        <v>170</v>
      </c>
      <c r="H15" s="76" t="s">
        <v>171</v>
      </c>
      <c r="I15" s="76" t="s">
        <v>172</v>
      </c>
      <c r="J15" s="402"/>
    </row>
    <row r="16" spans="2:12" ht="62" x14ac:dyDescent="0.35">
      <c r="B16" s="148" t="s">
        <v>173</v>
      </c>
      <c r="C16" s="147"/>
      <c r="D16" s="94"/>
      <c r="E16" s="95"/>
      <c r="F16" s="96" t="s">
        <v>154</v>
      </c>
      <c r="G16" s="76" t="s">
        <v>174</v>
      </c>
      <c r="H16" s="76" t="s">
        <v>175</v>
      </c>
      <c r="I16" s="76" t="s">
        <v>176</v>
      </c>
      <c r="J16" s="402"/>
    </row>
    <row r="17" spans="2:11" ht="46.5" x14ac:dyDescent="0.35">
      <c r="B17" s="148" t="s">
        <v>177</v>
      </c>
      <c r="C17" s="147"/>
      <c r="D17" s="94"/>
      <c r="E17" s="95"/>
      <c r="F17" s="96" t="s">
        <v>154</v>
      </c>
      <c r="G17" s="76" t="s">
        <v>178</v>
      </c>
      <c r="H17" s="76" t="s">
        <v>179</v>
      </c>
      <c r="I17" s="76" t="s">
        <v>176</v>
      </c>
      <c r="J17" s="402"/>
    </row>
    <row r="18" spans="2:11" ht="46.5" x14ac:dyDescent="0.35">
      <c r="B18" s="142" t="s">
        <v>180</v>
      </c>
      <c r="C18" s="147"/>
      <c r="D18" s="94"/>
      <c r="E18" s="95"/>
      <c r="F18" s="96" t="s">
        <v>154</v>
      </c>
      <c r="G18" s="76" t="s">
        <v>181</v>
      </c>
      <c r="H18" s="76" t="s">
        <v>182</v>
      </c>
      <c r="I18" s="76" t="s">
        <v>176</v>
      </c>
      <c r="J18" s="402"/>
    </row>
    <row r="19" spans="2:11" ht="124.5" thickBot="1" x14ac:dyDescent="0.4">
      <c r="B19" s="148" t="s">
        <v>183</v>
      </c>
      <c r="C19" s="147"/>
      <c r="D19" s="94" t="s">
        <v>154</v>
      </c>
      <c r="E19" s="95"/>
      <c r="F19" s="96"/>
      <c r="G19" s="76" t="s">
        <v>184</v>
      </c>
      <c r="H19" s="76" t="s">
        <v>185</v>
      </c>
      <c r="I19" s="76" t="s">
        <v>186</v>
      </c>
      <c r="J19" s="403"/>
    </row>
    <row r="20" spans="2:11" ht="16" thickBot="1" x14ac:dyDescent="0.4">
      <c r="B20" s="149"/>
      <c r="C20" s="150"/>
      <c r="D20" s="89">
        <f>COUNTIF(D15:D19,"X")</f>
        <v>1</v>
      </c>
      <c r="E20" s="90">
        <f>COUNTIF(E15:E19,"X")</f>
        <v>1</v>
      </c>
      <c r="F20" s="91">
        <f>COUNTIF(F15:F19,"X")</f>
        <v>3</v>
      </c>
      <c r="G20" s="92"/>
      <c r="H20" s="93"/>
      <c r="J20" s="105"/>
    </row>
    <row r="21" spans="2:11" ht="93" customHeight="1" x14ac:dyDescent="0.35">
      <c r="B21" s="136" t="s">
        <v>187</v>
      </c>
      <c r="C21" s="97"/>
      <c r="D21" s="390">
        <f>((D23*1)+(E23*0.5)+(F23*0))/1</f>
        <v>0.5</v>
      </c>
      <c r="E21" s="391"/>
      <c r="F21" s="391"/>
      <c r="G21" s="98"/>
      <c r="H21" s="98"/>
      <c r="I21" s="98"/>
      <c r="J21" s="397" t="s">
        <v>159</v>
      </c>
    </row>
    <row r="22" spans="2:11" ht="409.5" customHeight="1" thickBot="1" x14ac:dyDescent="0.4">
      <c r="B22" s="151" t="s">
        <v>188</v>
      </c>
      <c r="C22" s="106"/>
      <c r="D22" s="107"/>
      <c r="E22" s="108" t="s">
        <v>154</v>
      </c>
      <c r="F22" s="109"/>
      <c r="G22" s="110" t="s">
        <v>189</v>
      </c>
      <c r="H22" s="299" t="s">
        <v>190</v>
      </c>
      <c r="I22" s="110" t="s">
        <v>191</v>
      </c>
      <c r="J22" s="398"/>
      <c r="K22" s="292" t="s">
        <v>192</v>
      </c>
    </row>
    <row r="23" spans="2:11" s="100" customFormat="1" ht="16" thickBot="1" x14ac:dyDescent="0.4">
      <c r="B23" s="152"/>
      <c r="C23" s="111"/>
      <c r="D23" s="99">
        <f>COUNTIF(D22:D22,"X")</f>
        <v>0</v>
      </c>
      <c r="E23" s="99">
        <f>COUNTIF(E22:E22,"X")</f>
        <v>1</v>
      </c>
      <c r="F23" s="99">
        <f>COUNTIF(F22:F22,"X")</f>
        <v>0</v>
      </c>
      <c r="G23" s="112"/>
      <c r="H23" s="113"/>
      <c r="I23" s="114"/>
      <c r="J23" s="115"/>
      <c r="K23" s="293"/>
    </row>
    <row r="27" spans="2:11" ht="49.5" customHeight="1" x14ac:dyDescent="0.35">
      <c r="B27" s="134" t="s">
        <v>151</v>
      </c>
      <c r="C27" s="101">
        <f>D4</f>
        <v>0.5</v>
      </c>
    </row>
    <row r="28" spans="2:11" ht="31" x14ac:dyDescent="0.35">
      <c r="B28" s="134" t="s">
        <v>158</v>
      </c>
      <c r="C28" s="101">
        <f>+D7</f>
        <v>0</v>
      </c>
    </row>
    <row r="29" spans="2:11" ht="31" x14ac:dyDescent="0.35">
      <c r="B29" s="134" t="s">
        <v>193</v>
      </c>
      <c r="C29" s="101">
        <f>+D13</f>
        <v>0.3</v>
      </c>
    </row>
    <row r="30" spans="2:11" ht="31" x14ac:dyDescent="0.35">
      <c r="B30" s="134" t="s">
        <v>187</v>
      </c>
      <c r="C30" s="101">
        <f>+D21</f>
        <v>0.5</v>
      </c>
    </row>
    <row r="31" spans="2:11" x14ac:dyDescent="0.35">
      <c r="B31" s="134" t="s">
        <v>194</v>
      </c>
      <c r="C31" s="101">
        <f>AVERAGE(C27:C30)</f>
        <v>0.32500000000000001</v>
      </c>
    </row>
    <row r="50" spans="2:2" x14ac:dyDescent="0.35">
      <c r="B50" s="77" t="s">
        <v>195</v>
      </c>
    </row>
    <row r="51" spans="2:2" x14ac:dyDescent="0.35">
      <c r="B51" s="77" t="s">
        <v>196</v>
      </c>
    </row>
    <row r="52" spans="2:2" x14ac:dyDescent="0.35">
      <c r="B52" s="77" t="s">
        <v>197</v>
      </c>
    </row>
  </sheetData>
  <mergeCells count="21">
    <mergeCell ref="L9:L10"/>
    <mergeCell ref="C13:C14"/>
    <mergeCell ref="G13:G14"/>
    <mergeCell ref="D13:F14"/>
    <mergeCell ref="H13:H14"/>
    <mergeCell ref="B1:J1"/>
    <mergeCell ref="G9:G11"/>
    <mergeCell ref="H9:H11"/>
    <mergeCell ref="J4:J5"/>
    <mergeCell ref="D4:F4"/>
    <mergeCell ref="C7:C8"/>
    <mergeCell ref="J7:J11"/>
    <mergeCell ref="D21:F21"/>
    <mergeCell ref="D7:F8"/>
    <mergeCell ref="I9:I11"/>
    <mergeCell ref="J21:J22"/>
    <mergeCell ref="I7:I8"/>
    <mergeCell ref="H7:H8"/>
    <mergeCell ref="I13:I14"/>
    <mergeCell ref="J13:J19"/>
    <mergeCell ref="G7:G8"/>
  </mergeCells>
  <dataValidations count="1">
    <dataValidation type="list" allowBlank="1" showInputMessage="1" showErrorMessage="1" sqref="D5:F5 D9:F11 D15:F19 D22:F22" xr:uid="{A4A058C1-4D13-4584-89F4-0C3EB73D5B8E}">
      <formula1>"X"</formula1>
    </dataValidation>
  </dataValidations>
  <pageMargins left="0.51181102362204722" right="0.51181102362204722" top="0.55118110236220474" bottom="0.55118110236220474" header="0.31496062992125984" footer="0.31496062992125984"/>
  <pageSetup scale="39" fitToHeight="2" orientation="landscape" r:id="rId1"/>
  <headerFooter>
    <oddFooter>Página &amp;P de &amp;F</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84F99-438B-4B21-931A-24E7DAB2767E}">
  <sheetPr codeName="Hoja4"/>
  <dimension ref="A1:K60"/>
  <sheetViews>
    <sheetView zoomScale="102" zoomScaleNormal="89" zoomScaleSheetLayoutView="90" workbookViewId="0">
      <selection sqref="A1:J1"/>
    </sheetView>
  </sheetViews>
  <sheetFormatPr baseColWidth="10" defaultColWidth="11.453125" defaultRowHeight="10.5" x14ac:dyDescent="0.35"/>
  <cols>
    <col min="1" max="1" width="4.1796875" style="60" customWidth="1"/>
    <col min="2" max="2" width="72" style="60" customWidth="1"/>
    <col min="3" max="3" width="7.54296875" style="60" customWidth="1"/>
    <col min="4" max="4" width="10.1796875" style="60" customWidth="1"/>
    <col min="5" max="5" width="7.453125" style="60" customWidth="1"/>
    <col min="6" max="6" width="9.453125" style="60" customWidth="1"/>
    <col min="7" max="7" width="70.7265625" style="60" customWidth="1"/>
    <col min="8" max="8" width="52.453125" style="60" customWidth="1"/>
    <col min="9" max="9" width="67.7265625" style="60" customWidth="1"/>
    <col min="10" max="10" width="37.81640625" style="60" customWidth="1"/>
    <col min="11" max="11" width="25.54296875" style="60" customWidth="1"/>
    <col min="12" max="16384" width="11.453125" style="60"/>
  </cols>
  <sheetData>
    <row r="1" spans="1:10" x14ac:dyDescent="0.35">
      <c r="A1" s="411" t="s">
        <v>198</v>
      </c>
      <c r="B1" s="412"/>
      <c r="C1" s="412"/>
      <c r="D1" s="412"/>
      <c r="E1" s="412"/>
      <c r="F1" s="412"/>
      <c r="G1" s="412"/>
      <c r="H1" s="412"/>
      <c r="I1" s="412"/>
      <c r="J1" s="413"/>
    </row>
    <row r="2" spans="1:10" ht="11" thickBot="1" x14ac:dyDescent="0.4">
      <c r="A2" s="191"/>
      <c r="J2" s="192"/>
    </row>
    <row r="3" spans="1:10" ht="11" thickBot="1" x14ac:dyDescent="0.4">
      <c r="A3" s="191"/>
      <c r="B3" s="193" t="s">
        <v>199</v>
      </c>
      <c r="C3" s="61" t="s">
        <v>143</v>
      </c>
      <c r="D3" s="61" t="s">
        <v>144</v>
      </c>
      <c r="E3" s="61" t="s">
        <v>145</v>
      </c>
      <c r="F3" s="61" t="s">
        <v>146</v>
      </c>
      <c r="G3" s="61" t="s">
        <v>147</v>
      </c>
      <c r="H3" s="61" t="s">
        <v>148</v>
      </c>
      <c r="I3" s="194" t="s">
        <v>149</v>
      </c>
      <c r="J3" s="333" t="s">
        <v>150</v>
      </c>
    </row>
    <row r="4" spans="1:10" ht="14.5" customHeight="1" x14ac:dyDescent="0.35">
      <c r="A4" s="191"/>
      <c r="B4" s="417" t="s">
        <v>200</v>
      </c>
      <c r="C4" s="423"/>
      <c r="D4" s="431">
        <f>((D15*1)+(E15*0.5)+(F15*0))/8</f>
        <v>0.3125</v>
      </c>
      <c r="E4" s="431"/>
      <c r="F4" s="431"/>
      <c r="G4" s="428"/>
      <c r="H4" s="428"/>
      <c r="I4" s="102"/>
      <c r="J4" s="414" t="s">
        <v>159</v>
      </c>
    </row>
    <row r="5" spans="1:10" x14ac:dyDescent="0.35">
      <c r="A5" s="191"/>
      <c r="B5" s="418"/>
      <c r="C5" s="423"/>
      <c r="D5" s="431"/>
      <c r="E5" s="431"/>
      <c r="F5" s="431"/>
      <c r="G5" s="429"/>
      <c r="H5" s="429"/>
      <c r="I5" s="102"/>
      <c r="J5" s="415"/>
    </row>
    <row r="6" spans="1:10" ht="21" x14ac:dyDescent="0.35">
      <c r="A6" s="191"/>
      <c r="B6" s="195" t="s">
        <v>201</v>
      </c>
      <c r="C6" s="423"/>
      <c r="D6" s="432"/>
      <c r="E6" s="432"/>
      <c r="F6" s="432"/>
      <c r="G6" s="430"/>
      <c r="H6" s="430"/>
      <c r="I6" s="102"/>
      <c r="J6" s="415"/>
    </row>
    <row r="7" spans="1:10" ht="52.5" x14ac:dyDescent="0.35">
      <c r="A7" s="191"/>
      <c r="B7" s="196" t="s">
        <v>202</v>
      </c>
      <c r="C7" s="197"/>
      <c r="D7" s="198"/>
      <c r="E7" s="198" t="s">
        <v>154</v>
      </c>
      <c r="F7" s="198"/>
      <c r="G7" s="129" t="s">
        <v>203</v>
      </c>
      <c r="H7" s="63" t="s">
        <v>204</v>
      </c>
      <c r="I7" s="427" t="s">
        <v>205</v>
      </c>
      <c r="J7" s="415"/>
    </row>
    <row r="8" spans="1:10" ht="21" x14ac:dyDescent="0.35">
      <c r="A8" s="191"/>
      <c r="B8" s="196" t="s">
        <v>206</v>
      </c>
      <c r="C8" s="197"/>
      <c r="D8" s="198"/>
      <c r="E8" s="198"/>
      <c r="F8" s="198" t="s">
        <v>154</v>
      </c>
      <c r="G8" s="129" t="s">
        <v>207</v>
      </c>
      <c r="H8" s="67" t="s">
        <v>208</v>
      </c>
      <c r="I8" s="427"/>
      <c r="J8" s="415"/>
    </row>
    <row r="9" spans="1:10" ht="21" x14ac:dyDescent="0.35">
      <c r="A9" s="191"/>
      <c r="B9" s="196" t="s">
        <v>209</v>
      </c>
      <c r="C9" s="197"/>
      <c r="D9" s="198"/>
      <c r="E9" s="198"/>
      <c r="F9" s="198" t="s">
        <v>154</v>
      </c>
      <c r="G9" s="129" t="s">
        <v>210</v>
      </c>
      <c r="H9" s="67" t="s">
        <v>211</v>
      </c>
      <c r="I9" s="427"/>
      <c r="J9" s="415"/>
    </row>
    <row r="10" spans="1:10" ht="21" x14ac:dyDescent="0.35">
      <c r="A10" s="191"/>
      <c r="B10" s="196" t="s">
        <v>212</v>
      </c>
      <c r="C10" s="197"/>
      <c r="D10" s="198"/>
      <c r="E10" s="198" t="s">
        <v>154</v>
      </c>
      <c r="F10" s="198"/>
      <c r="G10" s="129" t="s">
        <v>210</v>
      </c>
      <c r="H10" s="63" t="s">
        <v>213</v>
      </c>
      <c r="I10" s="427"/>
      <c r="J10" s="415"/>
    </row>
    <row r="11" spans="1:10" ht="21" x14ac:dyDescent="0.35">
      <c r="A11" s="191"/>
      <c r="B11" s="196" t="s">
        <v>214</v>
      </c>
      <c r="C11" s="197"/>
      <c r="D11" s="198"/>
      <c r="E11" s="198" t="s">
        <v>154</v>
      </c>
      <c r="F11" s="198"/>
      <c r="G11" s="129" t="s">
        <v>210</v>
      </c>
      <c r="H11" s="63" t="s">
        <v>215</v>
      </c>
      <c r="I11" s="427"/>
      <c r="J11" s="415"/>
    </row>
    <row r="12" spans="1:10" ht="21" x14ac:dyDescent="0.35">
      <c r="A12" s="191"/>
      <c r="B12" s="196" t="s">
        <v>216</v>
      </c>
      <c r="C12" s="197"/>
      <c r="D12" s="198"/>
      <c r="E12" s="198" t="s">
        <v>154</v>
      </c>
      <c r="F12" s="198"/>
      <c r="G12" s="129" t="s">
        <v>210</v>
      </c>
      <c r="H12" s="63" t="s">
        <v>217</v>
      </c>
      <c r="I12" s="427"/>
      <c r="J12" s="415"/>
    </row>
    <row r="13" spans="1:10" ht="21" x14ac:dyDescent="0.35">
      <c r="A13" s="191"/>
      <c r="B13" s="199" t="s">
        <v>218</v>
      </c>
      <c r="C13" s="197"/>
      <c r="D13" s="198"/>
      <c r="E13" s="198"/>
      <c r="F13" s="198" t="s">
        <v>154</v>
      </c>
      <c r="G13" s="129" t="s">
        <v>210</v>
      </c>
      <c r="H13" s="63" t="s">
        <v>219</v>
      </c>
      <c r="I13" s="427"/>
      <c r="J13" s="415"/>
    </row>
    <row r="14" spans="1:10" ht="52.5" x14ac:dyDescent="0.35">
      <c r="A14" s="191"/>
      <c r="B14" s="196" t="s">
        <v>220</v>
      </c>
      <c r="C14" s="197"/>
      <c r="D14" s="198"/>
      <c r="E14" s="198" t="s">
        <v>154</v>
      </c>
      <c r="F14" s="198"/>
      <c r="G14" s="129" t="s">
        <v>210</v>
      </c>
      <c r="H14" s="63" t="s">
        <v>221</v>
      </c>
      <c r="I14" s="427"/>
      <c r="J14" s="416"/>
    </row>
    <row r="15" spans="1:10" ht="11" thickBot="1" x14ac:dyDescent="0.4">
      <c r="A15" s="191"/>
      <c r="B15" s="199"/>
      <c r="C15" s="197">
        <f>COUNTIF(C7:C14,"X")</f>
        <v>0</v>
      </c>
      <c r="D15" s="197">
        <f>COUNTIF(D7:D14,"X")</f>
        <v>0</v>
      </c>
      <c r="E15" s="197">
        <f>COUNTIF(E7:E14,"X")</f>
        <v>5</v>
      </c>
      <c r="F15" s="197">
        <f>COUNTIF(F7:F14,"X")</f>
        <v>3</v>
      </c>
      <c r="G15" s="25"/>
      <c r="H15" s="24"/>
      <c r="J15" s="192"/>
    </row>
    <row r="16" spans="1:10" ht="14.5" customHeight="1" x14ac:dyDescent="0.35">
      <c r="A16" s="191"/>
      <c r="B16" s="200" t="s">
        <v>222</v>
      </c>
      <c r="C16" s="439"/>
      <c r="D16" s="433">
        <f>((D25*1)+(E25*0.5)+(F25*0))/7</f>
        <v>0.42857142857142855</v>
      </c>
      <c r="E16" s="434"/>
      <c r="F16" s="435"/>
      <c r="G16" s="428"/>
      <c r="H16" s="428"/>
      <c r="I16" s="102"/>
      <c r="J16" s="414" t="s">
        <v>159</v>
      </c>
    </row>
    <row r="17" spans="1:11" x14ac:dyDescent="0.35">
      <c r="A17" s="191"/>
      <c r="B17" s="195" t="s">
        <v>223</v>
      </c>
      <c r="C17" s="440"/>
      <c r="D17" s="436"/>
      <c r="E17" s="437"/>
      <c r="F17" s="438"/>
      <c r="G17" s="430"/>
      <c r="H17" s="430"/>
      <c r="I17" s="102"/>
      <c r="J17" s="415"/>
    </row>
    <row r="18" spans="1:11" ht="147" x14ac:dyDescent="0.35">
      <c r="A18" s="191"/>
      <c r="B18" s="195" t="s">
        <v>224</v>
      </c>
      <c r="C18" s="197"/>
      <c r="D18" s="197"/>
      <c r="E18" s="197" t="s">
        <v>154</v>
      </c>
      <c r="F18" s="129"/>
      <c r="G18" s="129" t="s">
        <v>225</v>
      </c>
      <c r="H18" s="25" t="s">
        <v>226</v>
      </c>
      <c r="I18" s="129" t="s">
        <v>227</v>
      </c>
      <c r="J18" s="415"/>
    </row>
    <row r="19" spans="1:11" ht="21" x14ac:dyDescent="0.35">
      <c r="A19" s="191"/>
      <c r="B19" s="195" t="s">
        <v>228</v>
      </c>
      <c r="C19" s="197"/>
      <c r="D19" s="197"/>
      <c r="E19" s="197" t="s">
        <v>154</v>
      </c>
      <c r="F19" s="197"/>
      <c r="G19" s="129" t="s">
        <v>210</v>
      </c>
      <c r="H19" s="24" t="s">
        <v>229</v>
      </c>
      <c r="I19" s="129" t="s">
        <v>210</v>
      </c>
      <c r="J19" s="415"/>
    </row>
    <row r="20" spans="1:11" ht="21" x14ac:dyDescent="0.35">
      <c r="A20" s="191"/>
      <c r="B20" s="195" t="s">
        <v>230</v>
      </c>
      <c r="C20" s="197"/>
      <c r="D20" s="197"/>
      <c r="E20" s="197" t="s">
        <v>154</v>
      </c>
      <c r="F20" s="197"/>
      <c r="G20" s="129" t="s">
        <v>210</v>
      </c>
      <c r="H20" s="25" t="s">
        <v>231</v>
      </c>
      <c r="I20" s="129" t="s">
        <v>210</v>
      </c>
      <c r="J20" s="415"/>
    </row>
    <row r="21" spans="1:11" ht="31.5" x14ac:dyDescent="0.35">
      <c r="A21" s="191"/>
      <c r="B21" s="195" t="s">
        <v>232</v>
      </c>
      <c r="C21" s="197"/>
      <c r="D21" s="197"/>
      <c r="E21" s="197" t="s">
        <v>154</v>
      </c>
      <c r="F21" s="197"/>
      <c r="G21" s="129" t="s">
        <v>210</v>
      </c>
      <c r="H21" s="25"/>
      <c r="I21" s="129" t="s">
        <v>210</v>
      </c>
      <c r="J21" s="415"/>
    </row>
    <row r="22" spans="1:11" ht="21" x14ac:dyDescent="0.35">
      <c r="A22" s="191"/>
      <c r="B22" s="201" t="s">
        <v>233</v>
      </c>
      <c r="C22" s="197"/>
      <c r="D22" s="197"/>
      <c r="E22" s="197" t="s">
        <v>154</v>
      </c>
      <c r="F22" s="197"/>
      <c r="G22" s="129" t="s">
        <v>210</v>
      </c>
      <c r="H22" s="419" t="s">
        <v>234</v>
      </c>
      <c r="I22" s="422" t="s">
        <v>210</v>
      </c>
      <c r="J22" s="415"/>
    </row>
    <row r="23" spans="1:11" x14ac:dyDescent="0.35">
      <c r="A23" s="191"/>
      <c r="B23" s="201" t="s">
        <v>235</v>
      </c>
      <c r="C23" s="197"/>
      <c r="D23" s="197"/>
      <c r="E23" s="197"/>
      <c r="F23" s="197" t="s">
        <v>154</v>
      </c>
      <c r="G23" s="130" t="s">
        <v>236</v>
      </c>
      <c r="H23" s="420"/>
      <c r="I23" s="422"/>
      <c r="J23" s="415"/>
    </row>
    <row r="24" spans="1:11" ht="21.5" thickBot="1" x14ac:dyDescent="0.4">
      <c r="A24" s="191"/>
      <c r="B24" s="201" t="s">
        <v>237</v>
      </c>
      <c r="C24" s="197"/>
      <c r="D24" s="197"/>
      <c r="E24" s="197" t="s">
        <v>154</v>
      </c>
      <c r="F24" s="197"/>
      <c r="G24" s="131" t="s">
        <v>210</v>
      </c>
      <c r="H24" s="421"/>
      <c r="I24" s="422"/>
      <c r="J24" s="416"/>
    </row>
    <row r="25" spans="1:11" s="103" customFormat="1" ht="11" thickBot="1" x14ac:dyDescent="0.4">
      <c r="A25" s="202"/>
      <c r="B25" s="203"/>
      <c r="C25" s="197">
        <f>COUNTIF(C18:C24,"X")</f>
        <v>0</v>
      </c>
      <c r="D25" s="197">
        <f>COUNTIF(D18:D24,"X")</f>
        <v>0</v>
      </c>
      <c r="E25" s="197">
        <f>COUNTIF(E18:E24,"X")</f>
        <v>6</v>
      </c>
      <c r="F25" s="197">
        <f>COUNTIF(F18:F24,"X")</f>
        <v>1</v>
      </c>
      <c r="G25" s="36"/>
      <c r="H25" s="36"/>
      <c r="J25" s="204"/>
    </row>
    <row r="26" spans="1:11" ht="43.5" customHeight="1" x14ac:dyDescent="0.35">
      <c r="A26" s="191"/>
      <c r="B26" s="205" t="s">
        <v>238</v>
      </c>
      <c r="C26" s="73"/>
      <c r="D26" s="424">
        <f>((D31*1)+(E31*0.5)+(F31*0))/3</f>
        <v>0.33333333333333331</v>
      </c>
      <c r="E26" s="425"/>
      <c r="F26" s="426"/>
      <c r="G26" s="73"/>
      <c r="H26" s="73"/>
      <c r="I26" s="206"/>
      <c r="J26" s="414" t="s">
        <v>159</v>
      </c>
    </row>
    <row r="27" spans="1:11" ht="262.5" x14ac:dyDescent="0.25">
      <c r="A27" s="191"/>
      <c r="B27" s="207" t="s">
        <v>239</v>
      </c>
      <c r="C27" s="208"/>
      <c r="D27" s="198"/>
      <c r="E27" s="198" t="s">
        <v>154</v>
      </c>
      <c r="F27" s="197"/>
      <c r="G27" s="131" t="s">
        <v>240</v>
      </c>
      <c r="H27" s="63" t="s">
        <v>241</v>
      </c>
      <c r="I27" s="131" t="s">
        <v>242</v>
      </c>
      <c r="J27" s="415"/>
      <c r="K27" s="209" t="s">
        <v>243</v>
      </c>
    </row>
    <row r="28" spans="1:11" ht="31.5" x14ac:dyDescent="0.25">
      <c r="A28" s="191"/>
      <c r="B28" s="210" t="s">
        <v>244</v>
      </c>
      <c r="C28" s="208"/>
      <c r="D28" s="198"/>
      <c r="E28" s="198" t="s">
        <v>154</v>
      </c>
      <c r="F28" s="198"/>
      <c r="G28" s="131" t="s">
        <v>245</v>
      </c>
      <c r="H28" s="63" t="s">
        <v>246</v>
      </c>
      <c r="I28" s="131" t="s">
        <v>247</v>
      </c>
      <c r="J28" s="415"/>
    </row>
    <row r="29" spans="1:11" ht="31.5" x14ac:dyDescent="0.25">
      <c r="A29" s="191"/>
      <c r="B29" s="207" t="s">
        <v>248</v>
      </c>
      <c r="C29" s="208"/>
      <c r="D29" s="198"/>
      <c r="E29" s="198"/>
      <c r="F29" s="198" t="s">
        <v>154</v>
      </c>
      <c r="G29" s="132" t="s">
        <v>249</v>
      </c>
      <c r="H29" s="63" t="s">
        <v>250</v>
      </c>
      <c r="I29" s="67" t="s">
        <v>251</v>
      </c>
      <c r="J29" s="415"/>
    </row>
    <row r="30" spans="1:11" ht="21" x14ac:dyDescent="0.25">
      <c r="A30" s="191"/>
      <c r="B30" s="211" t="s">
        <v>252</v>
      </c>
      <c r="C30" s="212"/>
      <c r="D30" s="213"/>
      <c r="E30" s="213"/>
      <c r="F30" s="213"/>
      <c r="G30" s="63"/>
      <c r="H30" s="67"/>
      <c r="I30" s="67"/>
      <c r="J30" s="415"/>
    </row>
    <row r="31" spans="1:11" s="103" customFormat="1" ht="11" thickBot="1" x14ac:dyDescent="0.4">
      <c r="A31" s="214"/>
      <c r="B31" s="214"/>
      <c r="C31" s="215">
        <f>COUNTIF(C27:C30,"X")</f>
        <v>0</v>
      </c>
      <c r="D31" s="215">
        <f>COUNTIF(D27:D30,"X")</f>
        <v>0</v>
      </c>
      <c r="E31" s="215">
        <f>COUNTIF(E27:E30,"X")</f>
        <v>2</v>
      </c>
      <c r="F31" s="215">
        <f>COUNTIF(F27:F30,"X")</f>
        <v>1</v>
      </c>
      <c r="G31" s="119"/>
      <c r="H31" s="119"/>
      <c r="I31" s="119"/>
      <c r="J31" s="216"/>
    </row>
    <row r="33" spans="2:3" x14ac:dyDescent="0.35">
      <c r="B33" s="133" t="s">
        <v>253</v>
      </c>
      <c r="C33" s="133" t="s">
        <v>254</v>
      </c>
    </row>
    <row r="34" spans="2:3" x14ac:dyDescent="0.35">
      <c r="B34" s="217" t="s">
        <v>200</v>
      </c>
      <c r="C34" s="218">
        <f>+D4</f>
        <v>0.3125</v>
      </c>
    </row>
    <row r="35" spans="2:3" x14ac:dyDescent="0.35">
      <c r="B35" s="217" t="s">
        <v>222</v>
      </c>
      <c r="C35" s="218">
        <f>+D16</f>
        <v>0.42857142857142855</v>
      </c>
    </row>
    <row r="36" spans="2:3" x14ac:dyDescent="0.35">
      <c r="B36" s="217" t="s">
        <v>238</v>
      </c>
      <c r="C36" s="218">
        <f>+D26</f>
        <v>0.33333333333333331</v>
      </c>
    </row>
    <row r="37" spans="2:3" x14ac:dyDescent="0.35">
      <c r="B37" s="133" t="s">
        <v>255</v>
      </c>
      <c r="C37" s="218">
        <f>AVERAGE(C34:C36)</f>
        <v>0.35813492063492064</v>
      </c>
    </row>
    <row r="58" spans="2:2" x14ac:dyDescent="0.35">
      <c r="B58" s="209" t="s">
        <v>195</v>
      </c>
    </row>
    <row r="59" spans="2:2" x14ac:dyDescent="0.35">
      <c r="B59" s="209" t="s">
        <v>196</v>
      </c>
    </row>
    <row r="60" spans="2:2" x14ac:dyDescent="0.35">
      <c r="B60" s="209" t="s">
        <v>197</v>
      </c>
    </row>
  </sheetData>
  <mergeCells count="17">
    <mergeCell ref="C16:C17"/>
    <mergeCell ref="A1:J1"/>
    <mergeCell ref="J4:J14"/>
    <mergeCell ref="J16:J24"/>
    <mergeCell ref="B4:B5"/>
    <mergeCell ref="J26:J30"/>
    <mergeCell ref="H22:H24"/>
    <mergeCell ref="I22:I24"/>
    <mergeCell ref="C4:C6"/>
    <mergeCell ref="D26:F26"/>
    <mergeCell ref="I7:I14"/>
    <mergeCell ref="H4:H6"/>
    <mergeCell ref="H16:H17"/>
    <mergeCell ref="G16:G17"/>
    <mergeCell ref="D4:F6"/>
    <mergeCell ref="D16:F17"/>
    <mergeCell ref="G4:G6"/>
  </mergeCells>
  <dataValidations count="1">
    <dataValidation type="list" allowBlank="1" showInputMessage="1" showErrorMessage="1" sqref="C7:F14 C18:F24 C28:F30 E27:F27" xr:uid="{A6612BD0-CA6A-4753-80A8-CDC703CBC22B}">
      <formula1>"X"</formula1>
    </dataValidation>
  </dataValidations>
  <pageMargins left="0.39370078740157483" right="0" top="0.35433070866141736" bottom="0.35433070866141736" header="0.31496062992125984" footer="0.31496062992125984"/>
  <pageSetup scale="35" fitToHeight="2" orientation="landscape"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3A22F-D7CA-4BE9-B74C-5AED3BD88BFD}">
  <sheetPr codeName="Hoja5">
    <pageSetUpPr fitToPage="1"/>
  </sheetPr>
  <dimension ref="A1:J73"/>
  <sheetViews>
    <sheetView topLeftCell="A45" zoomScale="70" zoomScaleNormal="70" zoomScaleSheetLayoutView="100" workbookViewId="0">
      <selection activeCell="C7" sqref="C7"/>
    </sheetView>
  </sheetViews>
  <sheetFormatPr baseColWidth="10" defaultColWidth="11.453125" defaultRowHeight="14.5" x14ac:dyDescent="0.35"/>
  <cols>
    <col min="1" max="1" width="4.26953125" style="121" customWidth="1"/>
    <col min="2" max="2" width="76.54296875" style="121" customWidth="1"/>
    <col min="3" max="3" width="11.453125" style="121" customWidth="1"/>
    <col min="4" max="4" width="11.1796875" style="121" customWidth="1"/>
    <col min="5" max="6" width="9.26953125" style="121" customWidth="1"/>
    <col min="7" max="7" width="54.81640625" style="121" customWidth="1"/>
    <col min="8" max="8" width="55.7265625" style="121" customWidth="1"/>
    <col min="9" max="9" width="77.26953125" style="121" customWidth="1"/>
    <col min="10" max="10" width="36.54296875" style="121" customWidth="1"/>
    <col min="11" max="16384" width="11.453125" style="121"/>
  </cols>
  <sheetData>
    <row r="1" spans="1:10" s="128" customFormat="1" ht="15.65" customHeight="1" x14ac:dyDescent="0.35">
      <c r="A1" s="445" t="s">
        <v>198</v>
      </c>
      <c r="B1" s="446"/>
      <c r="C1" s="446"/>
      <c r="D1" s="446"/>
      <c r="E1" s="446"/>
      <c r="F1" s="446"/>
      <c r="G1" s="446"/>
      <c r="H1" s="446"/>
      <c r="I1" s="446"/>
      <c r="J1" s="447"/>
    </row>
    <row r="2" spans="1:10" ht="15" thickBot="1" x14ac:dyDescent="0.4">
      <c r="A2" s="153"/>
      <c r="J2" s="154"/>
    </row>
    <row r="3" spans="1:10" ht="33.75" customHeight="1" thickBot="1" x14ac:dyDescent="0.4">
      <c r="A3" s="153"/>
      <c r="B3" s="155" t="s">
        <v>256</v>
      </c>
      <c r="C3" s="38" t="s">
        <v>143</v>
      </c>
      <c r="D3" s="39" t="s">
        <v>144</v>
      </c>
      <c r="E3" s="6" t="s">
        <v>145</v>
      </c>
      <c r="F3" s="7" t="s">
        <v>146</v>
      </c>
      <c r="G3" s="5" t="s">
        <v>147</v>
      </c>
      <c r="H3" s="7" t="s">
        <v>148</v>
      </c>
      <c r="I3" s="4" t="s">
        <v>257</v>
      </c>
      <c r="J3" s="4" t="s">
        <v>150</v>
      </c>
    </row>
    <row r="4" spans="1:10" ht="58" customHeight="1" x14ac:dyDescent="0.35">
      <c r="A4" s="153"/>
      <c r="B4" s="168" t="s">
        <v>258</v>
      </c>
      <c r="C4" s="75"/>
      <c r="D4" s="453">
        <f>+(D5+D14+D23)/3</f>
        <v>0.12301587301587302</v>
      </c>
      <c r="E4" s="454"/>
      <c r="F4" s="455"/>
      <c r="G4" s="156"/>
      <c r="H4" s="156"/>
      <c r="I4" s="156"/>
      <c r="J4" s="448" t="s">
        <v>159</v>
      </c>
    </row>
    <row r="5" spans="1:10" x14ac:dyDescent="0.35">
      <c r="A5" s="153"/>
      <c r="B5" s="169" t="s">
        <v>259</v>
      </c>
      <c r="C5" s="72"/>
      <c r="D5" s="456">
        <f>((D13*1)+(E13*0.5)+(F13*0))/7</f>
        <v>7.1428571428571425E-2</v>
      </c>
      <c r="E5" s="457"/>
      <c r="F5" s="458"/>
      <c r="G5" s="157"/>
      <c r="H5" s="157"/>
      <c r="I5" s="157"/>
      <c r="J5" s="449"/>
    </row>
    <row r="6" spans="1:10" ht="168" customHeight="1" x14ac:dyDescent="0.35">
      <c r="A6" s="153"/>
      <c r="B6" s="170" t="s">
        <v>260</v>
      </c>
      <c r="C6" s="1"/>
      <c r="D6" s="62"/>
      <c r="E6" s="62" t="s">
        <v>154</v>
      </c>
      <c r="F6" s="62"/>
      <c r="G6" s="37" t="s">
        <v>261</v>
      </c>
      <c r="H6" s="71" t="s">
        <v>262</v>
      </c>
      <c r="I6" s="37" t="s">
        <v>263</v>
      </c>
      <c r="J6" s="449"/>
    </row>
    <row r="7" spans="1:10" ht="80.150000000000006" customHeight="1" x14ac:dyDescent="0.35">
      <c r="A7" s="153"/>
      <c r="B7" s="170" t="s">
        <v>264</v>
      </c>
      <c r="C7" s="1"/>
      <c r="D7" s="62"/>
      <c r="E7" s="62"/>
      <c r="F7" s="62" t="s">
        <v>154</v>
      </c>
      <c r="G7" s="37" t="s">
        <v>265</v>
      </c>
      <c r="H7" s="71" t="s">
        <v>262</v>
      </c>
      <c r="I7" s="37" t="s">
        <v>266</v>
      </c>
      <c r="J7" s="449"/>
    </row>
    <row r="8" spans="1:10" ht="70" customHeight="1" x14ac:dyDescent="0.35">
      <c r="A8" s="153"/>
      <c r="B8" s="170" t="s">
        <v>267</v>
      </c>
      <c r="C8" s="1"/>
      <c r="D8" s="62"/>
      <c r="E8" s="62"/>
      <c r="F8" s="62" t="s">
        <v>154</v>
      </c>
      <c r="G8" s="71" t="s">
        <v>251</v>
      </c>
      <c r="H8" s="71" t="s">
        <v>262</v>
      </c>
      <c r="I8" s="37" t="s">
        <v>268</v>
      </c>
      <c r="J8" s="449"/>
    </row>
    <row r="9" spans="1:10" ht="29" x14ac:dyDescent="0.35">
      <c r="A9" s="153"/>
      <c r="B9" s="170" t="s">
        <v>269</v>
      </c>
      <c r="C9" s="1"/>
      <c r="D9" s="62"/>
      <c r="E9" s="62"/>
      <c r="F9" s="62"/>
      <c r="G9" s="71" t="s">
        <v>251</v>
      </c>
      <c r="H9" s="71" t="s">
        <v>262</v>
      </c>
      <c r="I9" s="37" t="s">
        <v>270</v>
      </c>
      <c r="J9" s="449"/>
    </row>
    <row r="10" spans="1:10" ht="41.15" customHeight="1" x14ac:dyDescent="0.35">
      <c r="A10" s="153"/>
      <c r="B10" s="170" t="s">
        <v>271</v>
      </c>
      <c r="C10" s="1"/>
      <c r="D10" s="62"/>
      <c r="E10" s="62"/>
      <c r="F10" s="62"/>
      <c r="G10" s="71" t="s">
        <v>251</v>
      </c>
      <c r="H10" s="71" t="s">
        <v>262</v>
      </c>
      <c r="I10" s="37" t="s">
        <v>270</v>
      </c>
      <c r="J10" s="449"/>
    </row>
    <row r="11" spans="1:10" ht="57" customHeight="1" x14ac:dyDescent="0.35">
      <c r="A11" s="153"/>
      <c r="B11" s="170" t="s">
        <v>272</v>
      </c>
      <c r="C11" s="1"/>
      <c r="D11" s="62"/>
      <c r="E11" s="62"/>
      <c r="F11" s="62"/>
      <c r="G11" s="71" t="s">
        <v>251</v>
      </c>
      <c r="H11" s="71" t="s">
        <v>262</v>
      </c>
      <c r="I11" s="37" t="s">
        <v>270</v>
      </c>
      <c r="J11" s="449"/>
    </row>
    <row r="12" spans="1:10" ht="29" x14ac:dyDescent="0.35">
      <c r="A12" s="153"/>
      <c r="B12" s="170" t="s">
        <v>273</v>
      </c>
      <c r="C12" s="1"/>
      <c r="D12" s="62"/>
      <c r="E12" s="62"/>
      <c r="F12" s="62"/>
      <c r="G12" s="71" t="s">
        <v>251</v>
      </c>
      <c r="H12" s="71" t="s">
        <v>262</v>
      </c>
      <c r="I12" s="37" t="s">
        <v>270</v>
      </c>
      <c r="J12" s="442"/>
    </row>
    <row r="13" spans="1:10" x14ac:dyDescent="0.35">
      <c r="A13" s="153"/>
      <c r="B13" s="158"/>
      <c r="C13" s="1"/>
      <c r="D13" s="1">
        <f>COUNTIF(D6:D12,"X")</f>
        <v>0</v>
      </c>
      <c r="E13" s="1">
        <f>COUNTIF(E6:E12,"X")</f>
        <v>1</v>
      </c>
      <c r="F13" s="1">
        <f>COUNTIF(F6:F12,"X")</f>
        <v>2</v>
      </c>
      <c r="G13" s="37"/>
      <c r="H13" s="37"/>
      <c r="I13" s="37"/>
      <c r="J13" s="154"/>
    </row>
    <row r="14" spans="1:10" ht="40" customHeight="1" x14ac:dyDescent="0.35">
      <c r="A14" s="153"/>
      <c r="B14" s="171" t="s">
        <v>274</v>
      </c>
      <c r="C14" s="443"/>
      <c r="D14" s="456">
        <f>((D22*1)+(E22*0.5)+(F22*0))/6</f>
        <v>8.3333333333333329E-2</v>
      </c>
      <c r="E14" s="457"/>
      <c r="F14" s="458"/>
      <c r="G14" s="459"/>
      <c r="H14" s="459"/>
      <c r="I14" s="459"/>
      <c r="J14" s="441" t="s">
        <v>159</v>
      </c>
    </row>
    <row r="15" spans="1:10" ht="43.5" x14ac:dyDescent="0.35">
      <c r="A15" s="153"/>
      <c r="B15" s="170" t="s">
        <v>275</v>
      </c>
      <c r="C15" s="444"/>
      <c r="D15" s="467"/>
      <c r="E15" s="468"/>
      <c r="F15" s="469"/>
      <c r="G15" s="460"/>
      <c r="H15" s="460"/>
      <c r="I15" s="460"/>
      <c r="J15" s="449"/>
    </row>
    <row r="16" spans="1:10" ht="79.5" customHeight="1" x14ac:dyDescent="0.35">
      <c r="A16" s="153"/>
      <c r="B16" s="170" t="s">
        <v>276</v>
      </c>
      <c r="C16" s="1"/>
      <c r="D16" s="62"/>
      <c r="E16" s="62" t="s">
        <v>154</v>
      </c>
      <c r="F16" s="62"/>
      <c r="G16" s="71" t="s">
        <v>277</v>
      </c>
      <c r="H16" s="71" t="s">
        <v>278</v>
      </c>
      <c r="I16" s="71" t="s">
        <v>277</v>
      </c>
      <c r="J16" s="449"/>
    </row>
    <row r="17" spans="1:10" ht="66" customHeight="1" x14ac:dyDescent="0.35">
      <c r="A17" s="153"/>
      <c r="B17" s="170" t="s">
        <v>279</v>
      </c>
      <c r="C17" s="1"/>
      <c r="D17" s="62"/>
      <c r="E17" s="62"/>
      <c r="F17" s="62" t="s">
        <v>154</v>
      </c>
      <c r="G17" s="71" t="s">
        <v>280</v>
      </c>
      <c r="H17" s="71" t="s">
        <v>262</v>
      </c>
      <c r="I17" s="71" t="s">
        <v>277</v>
      </c>
      <c r="J17" s="449"/>
    </row>
    <row r="18" spans="1:10" ht="113.15" customHeight="1" x14ac:dyDescent="0.35">
      <c r="A18" s="153"/>
      <c r="B18" s="170" t="s">
        <v>281</v>
      </c>
      <c r="C18" s="1"/>
      <c r="D18" s="62"/>
      <c r="E18" s="62"/>
      <c r="F18" s="62" t="s">
        <v>154</v>
      </c>
      <c r="G18" s="71" t="s">
        <v>280</v>
      </c>
      <c r="H18" s="71" t="s">
        <v>262</v>
      </c>
      <c r="I18" s="71" t="s">
        <v>277</v>
      </c>
      <c r="J18" s="449"/>
    </row>
    <row r="19" spans="1:10" ht="105" customHeight="1" x14ac:dyDescent="0.35">
      <c r="A19" s="153"/>
      <c r="B19" s="170" t="s">
        <v>282</v>
      </c>
      <c r="C19" s="1"/>
      <c r="D19" s="62"/>
      <c r="E19" s="62"/>
      <c r="F19" s="62" t="s">
        <v>154</v>
      </c>
      <c r="G19" s="71" t="s">
        <v>251</v>
      </c>
      <c r="H19" s="71" t="s">
        <v>262</v>
      </c>
      <c r="I19" s="71" t="s">
        <v>277</v>
      </c>
      <c r="J19" s="449"/>
    </row>
    <row r="20" spans="1:10" ht="83.25" customHeight="1" x14ac:dyDescent="0.35">
      <c r="A20" s="153"/>
      <c r="B20" s="170" t="s">
        <v>283</v>
      </c>
      <c r="C20" s="1"/>
      <c r="D20" s="62"/>
      <c r="E20" s="62"/>
      <c r="F20" s="62" t="s">
        <v>154</v>
      </c>
      <c r="G20" s="71" t="s">
        <v>251</v>
      </c>
      <c r="H20" s="71" t="s">
        <v>262</v>
      </c>
      <c r="I20" s="71" t="s">
        <v>277</v>
      </c>
      <c r="J20" s="449"/>
    </row>
    <row r="21" spans="1:10" ht="29" x14ac:dyDescent="0.35">
      <c r="A21" s="153"/>
      <c r="B21" s="170" t="s">
        <v>284</v>
      </c>
      <c r="C21" s="1"/>
      <c r="D21" s="62"/>
      <c r="E21" s="62"/>
      <c r="F21" s="62" t="s">
        <v>154</v>
      </c>
      <c r="G21" s="71" t="s">
        <v>251</v>
      </c>
      <c r="H21" s="71" t="s">
        <v>262</v>
      </c>
      <c r="I21" s="37" t="s">
        <v>270</v>
      </c>
      <c r="J21" s="442"/>
    </row>
    <row r="22" spans="1:10" x14ac:dyDescent="0.35">
      <c r="A22" s="153"/>
      <c r="B22" s="158"/>
      <c r="C22" s="1"/>
      <c r="D22" s="1">
        <f>COUNTIF(D16:D21,"X")</f>
        <v>0</v>
      </c>
      <c r="E22" s="1">
        <f>COUNTIF(E16:E21,"X")</f>
        <v>1</v>
      </c>
      <c r="F22" s="1">
        <f>COUNTIF(F16:F21,"X")</f>
        <v>5</v>
      </c>
      <c r="G22" s="37"/>
      <c r="H22" s="37"/>
      <c r="I22" s="37"/>
      <c r="J22" s="159"/>
    </row>
    <row r="23" spans="1:10" ht="14.5" customHeight="1" x14ac:dyDescent="0.35">
      <c r="A23" s="153"/>
      <c r="B23" s="172" t="s">
        <v>285</v>
      </c>
      <c r="C23" s="443"/>
      <c r="D23" s="461">
        <f>((D33*1)+(E33*0.5)+(F33*0))/7</f>
        <v>0.21428571428571427</v>
      </c>
      <c r="E23" s="462"/>
      <c r="F23" s="463"/>
      <c r="G23" s="443"/>
      <c r="H23" s="443"/>
      <c r="I23" s="443"/>
      <c r="J23" s="441" t="s">
        <v>159</v>
      </c>
    </row>
    <row r="24" spans="1:10" ht="57.65" customHeight="1" x14ac:dyDescent="0.35">
      <c r="A24" s="153"/>
      <c r="B24" s="170" t="s">
        <v>286</v>
      </c>
      <c r="C24" s="444"/>
      <c r="D24" s="464"/>
      <c r="E24" s="465"/>
      <c r="F24" s="466"/>
      <c r="G24" s="444"/>
      <c r="H24" s="444"/>
      <c r="I24" s="444"/>
      <c r="J24" s="449"/>
    </row>
    <row r="25" spans="1:10" ht="141.65" customHeight="1" x14ac:dyDescent="0.35">
      <c r="A25" s="153"/>
      <c r="B25" s="170" t="s">
        <v>287</v>
      </c>
      <c r="C25" s="1"/>
      <c r="D25" s="62"/>
      <c r="E25" s="62" t="s">
        <v>154</v>
      </c>
      <c r="F25" s="62"/>
      <c r="G25" s="71" t="s">
        <v>288</v>
      </c>
      <c r="H25" s="71" t="s">
        <v>289</v>
      </c>
      <c r="I25" s="71" t="s">
        <v>290</v>
      </c>
      <c r="J25" s="449"/>
    </row>
    <row r="26" spans="1:10" ht="140.15" customHeight="1" x14ac:dyDescent="0.35">
      <c r="A26" s="153"/>
      <c r="B26" s="170" t="s">
        <v>291</v>
      </c>
      <c r="C26" s="1"/>
      <c r="D26" s="62"/>
      <c r="E26" s="62" t="s">
        <v>154</v>
      </c>
      <c r="F26" s="62"/>
      <c r="G26" s="71" t="s">
        <v>292</v>
      </c>
      <c r="H26" s="71" t="s">
        <v>293</v>
      </c>
      <c r="I26" s="71" t="s">
        <v>294</v>
      </c>
      <c r="J26" s="449"/>
    </row>
    <row r="27" spans="1:10" ht="183.65" customHeight="1" x14ac:dyDescent="0.35">
      <c r="A27" s="153"/>
      <c r="B27" s="170" t="s">
        <v>295</v>
      </c>
      <c r="C27" s="1"/>
      <c r="D27" s="62"/>
      <c r="E27" s="62"/>
      <c r="F27" s="62" t="s">
        <v>154</v>
      </c>
      <c r="G27" s="71" t="s">
        <v>251</v>
      </c>
      <c r="H27" s="71" t="s">
        <v>262</v>
      </c>
      <c r="I27" s="37" t="s">
        <v>270</v>
      </c>
      <c r="J27" s="449"/>
    </row>
    <row r="28" spans="1:10" ht="131.15" customHeight="1" x14ac:dyDescent="0.35">
      <c r="A28" s="153"/>
      <c r="B28" s="170" t="s">
        <v>296</v>
      </c>
      <c r="C28" s="1"/>
      <c r="D28" s="62"/>
      <c r="E28" s="62" t="s">
        <v>154</v>
      </c>
      <c r="F28" s="62"/>
      <c r="G28" s="71" t="s">
        <v>297</v>
      </c>
      <c r="H28" s="71" t="s">
        <v>298</v>
      </c>
      <c r="I28" s="71" t="s">
        <v>299</v>
      </c>
      <c r="J28" s="449"/>
    </row>
    <row r="29" spans="1:10" ht="49" customHeight="1" x14ac:dyDescent="0.35">
      <c r="A29" s="153"/>
      <c r="B29" s="173" t="s">
        <v>300</v>
      </c>
      <c r="C29" s="1"/>
      <c r="D29" s="62"/>
      <c r="E29" s="62"/>
      <c r="F29" s="62" t="s">
        <v>154</v>
      </c>
      <c r="G29" s="71" t="s">
        <v>251</v>
      </c>
      <c r="H29" s="71" t="s">
        <v>262</v>
      </c>
      <c r="I29" s="37" t="s">
        <v>270</v>
      </c>
      <c r="J29" s="449"/>
    </row>
    <row r="30" spans="1:10" ht="46" customHeight="1" x14ac:dyDescent="0.35">
      <c r="A30" s="153"/>
      <c r="B30" s="170" t="s">
        <v>301</v>
      </c>
      <c r="C30" s="1"/>
      <c r="D30" s="62"/>
      <c r="E30" s="62"/>
      <c r="F30" s="62" t="s">
        <v>154</v>
      </c>
      <c r="G30" s="71" t="s">
        <v>251</v>
      </c>
      <c r="H30" s="71" t="s">
        <v>262</v>
      </c>
      <c r="I30" s="37" t="s">
        <v>270</v>
      </c>
      <c r="J30" s="449"/>
    </row>
    <row r="31" spans="1:10" ht="44.15" customHeight="1" x14ac:dyDescent="0.35">
      <c r="A31" s="153"/>
      <c r="B31" s="170" t="s">
        <v>302</v>
      </c>
      <c r="C31" s="1"/>
      <c r="D31" s="62"/>
      <c r="E31" s="62"/>
      <c r="F31" s="62" t="s">
        <v>154</v>
      </c>
      <c r="G31" s="71" t="s">
        <v>251</v>
      </c>
      <c r="H31" s="71" t="s">
        <v>262</v>
      </c>
      <c r="I31" s="37" t="s">
        <v>270</v>
      </c>
      <c r="J31" s="449"/>
    </row>
    <row r="32" spans="1:10" ht="55" customHeight="1" x14ac:dyDescent="0.35">
      <c r="A32" s="153"/>
      <c r="B32" s="174" t="s">
        <v>303</v>
      </c>
      <c r="C32" s="1"/>
      <c r="D32" s="62"/>
      <c r="E32" s="62"/>
      <c r="F32" s="62"/>
      <c r="G32" s="71"/>
      <c r="H32" s="71"/>
      <c r="I32" s="71"/>
      <c r="J32" s="442"/>
    </row>
    <row r="33" spans="1:10" ht="14.5" customHeight="1" x14ac:dyDescent="0.35">
      <c r="A33" s="153"/>
      <c r="B33" s="175"/>
      <c r="C33" s="2"/>
      <c r="D33" s="1">
        <f>COUNTIF(D25:D32,"X")</f>
        <v>0</v>
      </c>
      <c r="E33" s="1">
        <f>COUNTIF(E25:E32,"X")</f>
        <v>3</v>
      </c>
      <c r="F33" s="1">
        <f>COUNTIF(F25:F32,"X")</f>
        <v>4</v>
      </c>
      <c r="G33" s="176"/>
      <c r="H33" s="177"/>
      <c r="I33" s="71"/>
      <c r="J33" s="159"/>
    </row>
    <row r="34" spans="1:10" ht="41.15" customHeight="1" x14ac:dyDescent="0.35">
      <c r="A34" s="153"/>
      <c r="B34" s="168" t="s">
        <v>304</v>
      </c>
      <c r="C34" s="473"/>
      <c r="D34" s="453">
        <f>((D49*1)+(E49*0.5)+(F49*0))/11</f>
        <v>0.27272727272727271</v>
      </c>
      <c r="E34" s="454"/>
      <c r="F34" s="455"/>
      <c r="G34" s="475"/>
      <c r="H34" s="476"/>
      <c r="I34" s="477"/>
      <c r="J34" s="441" t="s">
        <v>159</v>
      </c>
    </row>
    <row r="35" spans="1:10" ht="62.15" customHeight="1" x14ac:dyDescent="0.35">
      <c r="A35" s="153"/>
      <c r="B35" s="178" t="s">
        <v>305</v>
      </c>
      <c r="C35" s="474"/>
      <c r="D35" s="470"/>
      <c r="E35" s="471"/>
      <c r="F35" s="472"/>
      <c r="G35" s="478"/>
      <c r="H35" s="479"/>
      <c r="I35" s="480"/>
      <c r="J35" s="449"/>
    </row>
    <row r="36" spans="1:10" ht="51" customHeight="1" x14ac:dyDescent="0.35">
      <c r="A36" s="153"/>
      <c r="B36" s="170" t="s">
        <v>306</v>
      </c>
      <c r="C36" s="1"/>
      <c r="D36" s="62"/>
      <c r="E36" s="62" t="s">
        <v>154</v>
      </c>
      <c r="F36" s="62"/>
      <c r="G36" s="71" t="s">
        <v>251</v>
      </c>
      <c r="H36" s="71" t="s">
        <v>307</v>
      </c>
      <c r="I36" s="37" t="s">
        <v>270</v>
      </c>
      <c r="J36" s="449"/>
    </row>
    <row r="37" spans="1:10" ht="33.65" customHeight="1" x14ac:dyDescent="0.35">
      <c r="A37" s="153"/>
      <c r="B37" s="173" t="s">
        <v>308</v>
      </c>
      <c r="C37" s="1"/>
      <c r="D37" s="62"/>
      <c r="E37" s="62" t="s">
        <v>154</v>
      </c>
      <c r="F37" s="62"/>
      <c r="G37" s="71" t="s">
        <v>251</v>
      </c>
      <c r="H37" s="71" t="s">
        <v>307</v>
      </c>
      <c r="I37" s="37" t="s">
        <v>270</v>
      </c>
      <c r="J37" s="449"/>
    </row>
    <row r="38" spans="1:10" ht="36" customHeight="1" x14ac:dyDescent="0.35">
      <c r="A38" s="153"/>
      <c r="B38" s="170" t="s">
        <v>309</v>
      </c>
      <c r="C38" s="1"/>
      <c r="D38" s="62"/>
      <c r="E38" s="62"/>
      <c r="F38" s="62" t="s">
        <v>154</v>
      </c>
      <c r="G38" s="71" t="s">
        <v>251</v>
      </c>
      <c r="H38" s="71" t="s">
        <v>307</v>
      </c>
      <c r="I38" s="37" t="s">
        <v>270</v>
      </c>
      <c r="J38" s="449"/>
    </row>
    <row r="39" spans="1:10" ht="42" customHeight="1" x14ac:dyDescent="0.35">
      <c r="A39" s="153"/>
      <c r="B39" s="173" t="s">
        <v>310</v>
      </c>
      <c r="C39" s="1"/>
      <c r="D39" s="40"/>
      <c r="E39" s="40" t="s">
        <v>154</v>
      </c>
      <c r="F39" s="40"/>
      <c r="G39" s="71" t="s">
        <v>251</v>
      </c>
      <c r="H39" s="71" t="s">
        <v>307</v>
      </c>
      <c r="I39" s="37" t="s">
        <v>270</v>
      </c>
      <c r="J39" s="449"/>
    </row>
    <row r="40" spans="1:10" ht="35.5" customHeight="1" x14ac:dyDescent="0.35">
      <c r="A40" s="153"/>
      <c r="B40" s="173" t="s">
        <v>311</v>
      </c>
      <c r="C40" s="1"/>
      <c r="D40" s="62"/>
      <c r="E40" s="62"/>
      <c r="F40" s="62" t="s">
        <v>154</v>
      </c>
      <c r="G40" s="71" t="s">
        <v>251</v>
      </c>
      <c r="H40" s="71" t="s">
        <v>307</v>
      </c>
      <c r="I40" s="37" t="s">
        <v>270</v>
      </c>
      <c r="J40" s="449"/>
    </row>
    <row r="41" spans="1:10" ht="41.15" customHeight="1" x14ac:dyDescent="0.35">
      <c r="A41" s="153"/>
      <c r="B41" s="173" t="s">
        <v>312</v>
      </c>
      <c r="C41" s="1"/>
      <c r="D41" s="62"/>
      <c r="E41" s="62"/>
      <c r="F41" s="62" t="s">
        <v>154</v>
      </c>
      <c r="G41" s="71" t="s">
        <v>251</v>
      </c>
      <c r="H41" s="71" t="s">
        <v>307</v>
      </c>
      <c r="I41" s="37" t="s">
        <v>270</v>
      </c>
      <c r="J41" s="449"/>
    </row>
    <row r="42" spans="1:10" ht="61.5" customHeight="1" x14ac:dyDescent="0.35">
      <c r="A42" s="153"/>
      <c r="B42" s="170" t="s">
        <v>313</v>
      </c>
      <c r="C42" s="1"/>
      <c r="D42" s="62"/>
      <c r="E42" s="62" t="s">
        <v>154</v>
      </c>
      <c r="F42" s="62"/>
      <c r="G42" s="71" t="s">
        <v>314</v>
      </c>
      <c r="H42" s="71" t="s">
        <v>307</v>
      </c>
      <c r="I42" s="37" t="s">
        <v>270</v>
      </c>
      <c r="J42" s="449"/>
    </row>
    <row r="43" spans="1:10" ht="44.15" customHeight="1" x14ac:dyDescent="0.35">
      <c r="A43" s="153"/>
      <c r="B43" s="170" t="s">
        <v>315</v>
      </c>
      <c r="C43" s="1"/>
      <c r="D43" s="62"/>
      <c r="E43" s="62" t="s">
        <v>316</v>
      </c>
      <c r="F43" s="62"/>
      <c r="G43" s="71" t="s">
        <v>251</v>
      </c>
      <c r="H43" s="71" t="s">
        <v>307</v>
      </c>
      <c r="I43" s="37" t="s">
        <v>270</v>
      </c>
      <c r="J43" s="449"/>
    </row>
    <row r="44" spans="1:10" ht="42.65" customHeight="1" x14ac:dyDescent="0.35">
      <c r="A44" s="153"/>
      <c r="B44" s="179" t="s">
        <v>317</v>
      </c>
      <c r="C44" s="1"/>
      <c r="D44" s="62"/>
      <c r="E44" s="62" t="s">
        <v>154</v>
      </c>
      <c r="F44" s="62"/>
      <c r="G44" s="71" t="s">
        <v>251</v>
      </c>
      <c r="H44" s="71" t="s">
        <v>307</v>
      </c>
      <c r="I44" s="37" t="s">
        <v>270</v>
      </c>
      <c r="J44" s="449"/>
    </row>
    <row r="45" spans="1:10" ht="31.5" customHeight="1" x14ac:dyDescent="0.35">
      <c r="A45" s="153"/>
      <c r="B45" s="180" t="s">
        <v>318</v>
      </c>
      <c r="C45" s="1"/>
      <c r="D45" s="62"/>
      <c r="E45" s="62"/>
      <c r="F45" s="62" t="s">
        <v>154</v>
      </c>
      <c r="G45" s="71" t="s">
        <v>251</v>
      </c>
      <c r="H45" s="71" t="s">
        <v>307</v>
      </c>
      <c r="I45" s="37" t="s">
        <v>270</v>
      </c>
      <c r="J45" s="449"/>
    </row>
    <row r="46" spans="1:10" ht="52.5" customHeight="1" x14ac:dyDescent="0.35">
      <c r="A46" s="153"/>
      <c r="B46" s="180" t="s">
        <v>319</v>
      </c>
      <c r="C46" s="1"/>
      <c r="D46" s="62"/>
      <c r="E46" s="62"/>
      <c r="F46" s="62" t="s">
        <v>154</v>
      </c>
      <c r="G46" s="71" t="s">
        <v>251</v>
      </c>
      <c r="H46" s="71" t="s">
        <v>307</v>
      </c>
      <c r="I46" s="37" t="s">
        <v>270</v>
      </c>
      <c r="J46" s="449"/>
    </row>
    <row r="47" spans="1:10" ht="39" customHeight="1" x14ac:dyDescent="0.35">
      <c r="A47" s="153"/>
      <c r="B47" s="180" t="s">
        <v>320</v>
      </c>
      <c r="C47" s="1"/>
      <c r="D47" s="62"/>
      <c r="E47" s="62"/>
      <c r="F47" s="74" t="s">
        <v>154</v>
      </c>
      <c r="G47" s="71" t="s">
        <v>251</v>
      </c>
      <c r="H47" s="71" t="s">
        <v>307</v>
      </c>
      <c r="I47" s="37" t="s">
        <v>270</v>
      </c>
      <c r="J47" s="449"/>
    </row>
    <row r="48" spans="1:10" ht="50.15" customHeight="1" x14ac:dyDescent="0.35">
      <c r="A48" s="153"/>
      <c r="B48" s="180" t="s">
        <v>321</v>
      </c>
      <c r="C48" s="1"/>
      <c r="D48" s="62"/>
      <c r="E48" s="62"/>
      <c r="F48" s="62" t="s">
        <v>154</v>
      </c>
      <c r="G48" s="71" t="s">
        <v>251</v>
      </c>
      <c r="H48" s="71" t="s">
        <v>307</v>
      </c>
      <c r="I48" s="37" t="s">
        <v>270</v>
      </c>
      <c r="J48" s="442"/>
    </row>
    <row r="49" spans="1:10" x14ac:dyDescent="0.35">
      <c r="A49" s="153"/>
      <c r="B49" s="181"/>
      <c r="C49" s="2"/>
      <c r="D49" s="2">
        <f>COUNTIF(D36:D48,"X")</f>
        <v>0</v>
      </c>
      <c r="E49" s="2">
        <f>COUNTIF(E36:E48,"X")</f>
        <v>6</v>
      </c>
      <c r="F49" s="2">
        <f>COUNTIF(F36:F48,"X")</f>
        <v>7</v>
      </c>
      <c r="G49" s="160"/>
      <c r="H49" s="160"/>
      <c r="I49" s="37"/>
      <c r="J49" s="159"/>
    </row>
    <row r="50" spans="1:10" ht="59.15" customHeight="1" x14ac:dyDescent="0.35">
      <c r="A50" s="153"/>
      <c r="B50" s="161" t="s">
        <v>322</v>
      </c>
      <c r="C50" s="41"/>
      <c r="D50" s="450">
        <f>((D52*1)+(E52*0.5)+(F52*0))/1</f>
        <v>0.5</v>
      </c>
      <c r="E50" s="451"/>
      <c r="F50" s="452"/>
      <c r="G50" s="41"/>
      <c r="H50" s="41"/>
      <c r="I50" s="41"/>
      <c r="J50" s="441" t="s">
        <v>159</v>
      </c>
    </row>
    <row r="51" spans="1:10" ht="43.5" x14ac:dyDescent="0.35">
      <c r="A51" s="153"/>
      <c r="B51" s="37" t="s">
        <v>323</v>
      </c>
      <c r="C51" s="37"/>
      <c r="D51" s="162"/>
      <c r="E51" s="162" t="s">
        <v>154</v>
      </c>
      <c r="F51" s="163"/>
      <c r="G51" s="71" t="s">
        <v>324</v>
      </c>
      <c r="H51" s="71" t="s">
        <v>325</v>
      </c>
      <c r="I51" s="37" t="s">
        <v>326</v>
      </c>
      <c r="J51" s="442"/>
    </row>
    <row r="52" spans="1:10" ht="15" thickBot="1" x14ac:dyDescent="0.4">
      <c r="A52" s="164"/>
      <c r="B52" s="182"/>
      <c r="C52" s="1"/>
      <c r="D52" s="122">
        <f>COUNTIF(D51:D51,"X")</f>
        <v>0</v>
      </c>
      <c r="E52" s="122">
        <f>COUNTIF(E51:E51,"X")</f>
        <v>1</v>
      </c>
      <c r="F52" s="122">
        <f>COUNTIF(F51:F51,"X")</f>
        <v>0</v>
      </c>
      <c r="G52" s="183"/>
      <c r="H52" s="184"/>
      <c r="I52" s="165"/>
      <c r="J52" s="166"/>
    </row>
    <row r="53" spans="1:10" x14ac:dyDescent="0.35">
      <c r="B53" s="185"/>
      <c r="C53" s="125"/>
      <c r="D53" s="125"/>
      <c r="E53" s="125"/>
      <c r="F53" s="125"/>
      <c r="G53" s="186"/>
      <c r="H53" s="186"/>
    </row>
    <row r="54" spans="1:10" x14ac:dyDescent="0.35">
      <c r="B54" s="187" t="s">
        <v>253</v>
      </c>
      <c r="C54" s="187" t="s">
        <v>254</v>
      </c>
    </row>
    <row r="55" spans="1:10" ht="50.5" customHeight="1" x14ac:dyDescent="0.35">
      <c r="B55" s="188" t="s">
        <v>327</v>
      </c>
      <c r="C55" s="189">
        <f>D4</f>
        <v>0.12301587301587302</v>
      </c>
      <c r="E55" s="120"/>
      <c r="F55" s="120"/>
    </row>
    <row r="56" spans="1:10" ht="49.5" customHeight="1" x14ac:dyDescent="0.35">
      <c r="B56" s="188" t="s">
        <v>328</v>
      </c>
      <c r="C56" s="189">
        <f>D34</f>
        <v>0.27272727272727271</v>
      </c>
      <c r="E56" s="120"/>
      <c r="F56" s="120"/>
    </row>
    <row r="57" spans="1:10" ht="36.65" customHeight="1" x14ac:dyDescent="0.35">
      <c r="B57" s="188" t="s">
        <v>322</v>
      </c>
      <c r="C57" s="189">
        <f>D50</f>
        <v>0.5</v>
      </c>
      <c r="E57" s="120"/>
      <c r="F57" s="120"/>
    </row>
    <row r="58" spans="1:10" ht="22" customHeight="1" x14ac:dyDescent="0.35">
      <c r="B58" s="190" t="s">
        <v>255</v>
      </c>
      <c r="C58" s="189">
        <f>AVERAGE(C55:F57)</f>
        <v>0.29858104858104856</v>
      </c>
    </row>
    <row r="71" spans="2:2" x14ac:dyDescent="0.35">
      <c r="B71" s="121" t="s">
        <v>195</v>
      </c>
    </row>
    <row r="72" spans="2:2" x14ac:dyDescent="0.35">
      <c r="B72" s="121" t="s">
        <v>196</v>
      </c>
    </row>
    <row r="73" spans="2:2" x14ac:dyDescent="0.35">
      <c r="B73" s="121" t="s">
        <v>197</v>
      </c>
    </row>
  </sheetData>
  <mergeCells count="22">
    <mergeCell ref="D14:F15"/>
    <mergeCell ref="D34:F35"/>
    <mergeCell ref="C34:C35"/>
    <mergeCell ref="I14:I15"/>
    <mergeCell ref="I23:I24"/>
    <mergeCell ref="G34:I35"/>
    <mergeCell ref="J50:J51"/>
    <mergeCell ref="C23:C24"/>
    <mergeCell ref="H23:H24"/>
    <mergeCell ref="G23:G24"/>
    <mergeCell ref="A1:J1"/>
    <mergeCell ref="J4:J12"/>
    <mergeCell ref="J14:J21"/>
    <mergeCell ref="J23:J32"/>
    <mergeCell ref="D50:F50"/>
    <mergeCell ref="D4:F4"/>
    <mergeCell ref="J34:J48"/>
    <mergeCell ref="D5:F5"/>
    <mergeCell ref="H14:H15"/>
    <mergeCell ref="G14:G15"/>
    <mergeCell ref="C14:C15"/>
    <mergeCell ref="D23:F24"/>
  </mergeCells>
  <dataValidations count="1">
    <dataValidation type="list" allowBlank="1" showInputMessage="1" showErrorMessage="1" sqref="C36:C48 C16:C21 C6:F12 D16:F20 D36:F42 D21:E21 D44:F48 C25:E31" xr:uid="{85027627-DCDF-4BC1-B8F6-D9CD1812D853}">
      <formula1>"X"</formula1>
    </dataValidation>
  </dataValidations>
  <pageMargins left="0.31496062992125984" right="0.31496062992125984" top="0.35433070866141736" bottom="0.35433070866141736" header="0.31496062992125984" footer="0.31496062992125984"/>
  <pageSetup scale="39" fitToHeight="3" orientation="landscape"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E7904-1B2B-4E2F-B640-F20B02E1033D}">
  <sheetPr codeName="Hoja6"/>
  <dimension ref="A1:K77"/>
  <sheetViews>
    <sheetView zoomScale="90" zoomScaleNormal="80" zoomScaleSheetLayoutView="100" workbookViewId="0">
      <selection activeCell="B5" sqref="B5"/>
    </sheetView>
  </sheetViews>
  <sheetFormatPr baseColWidth="10" defaultColWidth="11.453125" defaultRowHeight="32.5" customHeight="1" x14ac:dyDescent="0.35"/>
  <cols>
    <col min="1" max="1" width="3.7265625" style="262" customWidth="1"/>
    <col min="2" max="2" width="65.7265625" style="262" customWidth="1"/>
    <col min="3" max="3" width="11.453125" style="265" customWidth="1"/>
    <col min="4" max="4" width="12.7265625" style="265" customWidth="1"/>
    <col min="5" max="5" width="11.54296875" style="265" customWidth="1"/>
    <col min="6" max="6" width="11.26953125" style="265" customWidth="1"/>
    <col min="7" max="7" width="65.1796875" style="262" customWidth="1"/>
    <col min="8" max="9" width="32.1796875" style="262" customWidth="1"/>
    <col min="10" max="10" width="44.26953125" style="262" customWidth="1"/>
    <col min="11" max="11" width="16.54296875" style="262" customWidth="1"/>
    <col min="12" max="16384" width="11.453125" style="262"/>
  </cols>
  <sheetData>
    <row r="1" spans="1:10" s="248" customFormat="1" ht="32.5" customHeight="1" x14ac:dyDescent="0.35">
      <c r="A1" s="490" t="s">
        <v>198</v>
      </c>
      <c r="B1" s="491"/>
      <c r="C1" s="491"/>
      <c r="D1" s="491"/>
      <c r="E1" s="491"/>
      <c r="F1" s="491"/>
      <c r="G1" s="491"/>
      <c r="H1" s="491"/>
      <c r="I1" s="491"/>
      <c r="J1" s="491"/>
    </row>
    <row r="2" spans="1:10" ht="10" customHeight="1" x14ac:dyDescent="0.35"/>
    <row r="3" spans="1:10" ht="32.5" customHeight="1" x14ac:dyDescent="0.35">
      <c r="B3" s="255" t="s">
        <v>329</v>
      </c>
      <c r="C3" s="61" t="s">
        <v>143</v>
      </c>
      <c r="D3" s="61" t="s">
        <v>144</v>
      </c>
      <c r="E3" s="61" t="s">
        <v>145</v>
      </c>
      <c r="F3" s="61" t="s">
        <v>146</v>
      </c>
      <c r="G3" s="61" t="s">
        <v>147</v>
      </c>
      <c r="H3" s="61" t="s">
        <v>148</v>
      </c>
      <c r="I3" s="61" t="s">
        <v>149</v>
      </c>
      <c r="J3" s="61" t="s">
        <v>150</v>
      </c>
    </row>
    <row r="4" spans="1:10" ht="23.5" customHeight="1" x14ac:dyDescent="0.35">
      <c r="B4" s="266" t="s">
        <v>330</v>
      </c>
      <c r="C4" s="492"/>
      <c r="D4" s="493">
        <f>((D10*1)+(E10*0.5)+(F10*0))/4</f>
        <v>0</v>
      </c>
      <c r="E4" s="432"/>
      <c r="F4" s="432"/>
      <c r="G4" s="482"/>
      <c r="H4" s="482"/>
      <c r="I4" s="483"/>
      <c r="J4" s="481" t="s">
        <v>331</v>
      </c>
    </row>
    <row r="5" spans="1:10" ht="23.15" customHeight="1" x14ac:dyDescent="0.35">
      <c r="B5" s="267" t="s">
        <v>332</v>
      </c>
      <c r="C5" s="492"/>
      <c r="D5" s="432"/>
      <c r="E5" s="432"/>
      <c r="F5" s="432"/>
      <c r="G5" s="482"/>
      <c r="H5" s="482"/>
      <c r="I5" s="484"/>
      <c r="J5" s="481"/>
    </row>
    <row r="6" spans="1:10" ht="32.5" customHeight="1" x14ac:dyDescent="0.35">
      <c r="B6" s="267" t="s">
        <v>333</v>
      </c>
      <c r="C6" s="219"/>
      <c r="D6" s="219"/>
      <c r="E6" s="219"/>
      <c r="F6" s="261" t="s">
        <v>154</v>
      </c>
      <c r="G6" s="63" t="s">
        <v>334</v>
      </c>
      <c r="H6" s="481" t="s">
        <v>335</v>
      </c>
      <c r="I6" s="481" t="s">
        <v>336</v>
      </c>
      <c r="J6" s="481"/>
    </row>
    <row r="7" spans="1:10" ht="32.5" customHeight="1" x14ac:dyDescent="0.35">
      <c r="B7" s="267" t="s">
        <v>337</v>
      </c>
      <c r="C7" s="219"/>
      <c r="D7" s="219"/>
      <c r="E7" s="219"/>
      <c r="F7" s="261" t="s">
        <v>154</v>
      </c>
      <c r="G7" s="63" t="s">
        <v>334</v>
      </c>
      <c r="H7" s="481"/>
      <c r="I7" s="481"/>
      <c r="J7" s="481"/>
    </row>
    <row r="8" spans="1:10" ht="32.5" customHeight="1" x14ac:dyDescent="0.35">
      <c r="B8" s="267" t="s">
        <v>338</v>
      </c>
      <c r="C8" s="219"/>
      <c r="D8" s="219"/>
      <c r="E8" s="219"/>
      <c r="F8" s="261" t="s">
        <v>154</v>
      </c>
      <c r="G8" s="63" t="s">
        <v>334</v>
      </c>
      <c r="H8" s="481"/>
      <c r="I8" s="481"/>
      <c r="J8" s="481"/>
    </row>
    <row r="9" spans="1:10" ht="32.5" customHeight="1" x14ac:dyDescent="0.35">
      <c r="B9" s="267" t="s">
        <v>339</v>
      </c>
      <c r="C9" s="219"/>
      <c r="D9" s="219"/>
      <c r="E9" s="219"/>
      <c r="F9" s="261" t="s">
        <v>154</v>
      </c>
      <c r="G9" s="63" t="s">
        <v>334</v>
      </c>
      <c r="H9" s="481"/>
      <c r="I9" s="481"/>
      <c r="J9" s="481"/>
    </row>
    <row r="10" spans="1:10" ht="22" customHeight="1" x14ac:dyDescent="0.35">
      <c r="B10" s="268"/>
      <c r="C10" s="219"/>
      <c r="D10" s="219">
        <f>COUNTIF(D5:D9,"X")</f>
        <v>0</v>
      </c>
      <c r="E10" s="219">
        <f>COUNTIF(E5:E9,"X")</f>
        <v>0</v>
      </c>
      <c r="F10" s="261">
        <f>COUNTIF(F5:F9,"X")</f>
        <v>4</v>
      </c>
      <c r="G10" s="63" t="s">
        <v>334</v>
      </c>
      <c r="H10" s="63"/>
      <c r="I10" s="63"/>
      <c r="J10" s="63"/>
    </row>
    <row r="11" spans="1:10" ht="22" customHeight="1" x14ac:dyDescent="0.35">
      <c r="B11" s="269" t="s">
        <v>340</v>
      </c>
      <c r="C11" s="492"/>
      <c r="D11" s="493">
        <f>((D18*1)+(E18*0.5)+(F18*0))/4</f>
        <v>0.5</v>
      </c>
      <c r="E11" s="432"/>
      <c r="F11" s="432"/>
      <c r="G11" s="482"/>
      <c r="H11" s="482"/>
      <c r="I11" s="483"/>
      <c r="J11" s="481" t="s">
        <v>341</v>
      </c>
    </row>
    <row r="12" spans="1:10" ht="17.5" customHeight="1" x14ac:dyDescent="0.35">
      <c r="B12" s="270" t="s">
        <v>342</v>
      </c>
      <c r="C12" s="492"/>
      <c r="D12" s="432"/>
      <c r="E12" s="432"/>
      <c r="F12" s="432"/>
      <c r="G12" s="482"/>
      <c r="H12" s="482"/>
      <c r="I12" s="484"/>
      <c r="J12" s="481"/>
    </row>
    <row r="13" spans="1:10" ht="32.5" customHeight="1" x14ac:dyDescent="0.35">
      <c r="B13" s="263" t="s">
        <v>343</v>
      </c>
      <c r="C13" s="219"/>
      <c r="D13" s="219"/>
      <c r="E13" s="219" t="s">
        <v>154</v>
      </c>
      <c r="F13" s="261"/>
      <c r="G13" s="481" t="s">
        <v>344</v>
      </c>
      <c r="H13" s="486" t="s">
        <v>345</v>
      </c>
      <c r="I13" s="486" t="s">
        <v>336</v>
      </c>
      <c r="J13" s="481"/>
    </row>
    <row r="14" spans="1:10" ht="32.5" customHeight="1" x14ac:dyDescent="0.35">
      <c r="B14" s="263" t="s">
        <v>346</v>
      </c>
      <c r="C14" s="219"/>
      <c r="D14" s="219"/>
      <c r="E14" s="219" t="s">
        <v>154</v>
      </c>
      <c r="F14" s="261"/>
      <c r="G14" s="481"/>
      <c r="H14" s="486"/>
      <c r="I14" s="486"/>
      <c r="J14" s="481"/>
    </row>
    <row r="15" spans="1:10" ht="32.5" customHeight="1" x14ac:dyDescent="0.35">
      <c r="B15" s="263" t="s">
        <v>347</v>
      </c>
      <c r="C15" s="219"/>
      <c r="D15" s="219"/>
      <c r="E15" s="219" t="s">
        <v>154</v>
      </c>
      <c r="F15" s="261"/>
      <c r="G15" s="481"/>
      <c r="H15" s="486"/>
      <c r="I15" s="486"/>
      <c r="J15" s="481"/>
    </row>
    <row r="16" spans="1:10" ht="32.5" customHeight="1" x14ac:dyDescent="0.35">
      <c r="B16" s="263" t="s">
        <v>348</v>
      </c>
      <c r="C16" s="219"/>
      <c r="D16" s="219"/>
      <c r="E16" s="219" t="s">
        <v>154</v>
      </c>
      <c r="F16" s="261"/>
      <c r="G16" s="481"/>
      <c r="H16" s="486"/>
      <c r="I16" s="486"/>
      <c r="J16" s="481"/>
    </row>
    <row r="17" spans="2:11" ht="32.5" customHeight="1" x14ac:dyDescent="0.35">
      <c r="B17" s="268" t="s">
        <v>349</v>
      </c>
      <c r="C17" s="219"/>
      <c r="D17" s="219"/>
      <c r="E17" s="219"/>
      <c r="F17" s="261"/>
      <c r="G17" s="63"/>
      <c r="H17" s="63"/>
      <c r="I17" s="63"/>
      <c r="J17" s="63"/>
    </row>
    <row r="18" spans="2:11" ht="16.5" customHeight="1" x14ac:dyDescent="0.35">
      <c r="B18" s="268"/>
      <c r="C18" s="219"/>
      <c r="D18" s="219">
        <f>COUNTIF(D12:D17,"X")</f>
        <v>0</v>
      </c>
      <c r="E18" s="219">
        <f>COUNTIF(E12:E17,"X")</f>
        <v>4</v>
      </c>
      <c r="F18" s="261">
        <f>COUNTIF(F12:F17,"X")</f>
        <v>0</v>
      </c>
      <c r="G18" s="63"/>
      <c r="H18" s="63"/>
      <c r="I18" s="63"/>
      <c r="J18" s="63"/>
    </row>
    <row r="19" spans="2:11" ht="22" customHeight="1" x14ac:dyDescent="0.35">
      <c r="B19" s="269" t="s">
        <v>350</v>
      </c>
      <c r="C19" s="492"/>
      <c r="D19" s="493">
        <f ca="1">((D24*1)+(E24*0.5)+(F24*0))/3</f>
        <v>0</v>
      </c>
      <c r="E19" s="432"/>
      <c r="F19" s="432"/>
      <c r="G19" s="482"/>
      <c r="H19" s="482"/>
      <c r="I19" s="483"/>
      <c r="J19" s="481" t="s">
        <v>351</v>
      </c>
    </row>
    <row r="20" spans="2:11" ht="27" customHeight="1" x14ac:dyDescent="0.35">
      <c r="B20" s="271" t="s">
        <v>352</v>
      </c>
      <c r="C20" s="492"/>
      <c r="D20" s="432"/>
      <c r="E20" s="432"/>
      <c r="F20" s="432"/>
      <c r="G20" s="482"/>
      <c r="H20" s="482"/>
      <c r="I20" s="484"/>
      <c r="J20" s="481"/>
    </row>
    <row r="21" spans="2:11" ht="32.5" customHeight="1" x14ac:dyDescent="0.35">
      <c r="B21" s="272" t="s">
        <v>353</v>
      </c>
      <c r="C21" s="219"/>
      <c r="D21" s="219"/>
      <c r="E21" s="219"/>
      <c r="F21" s="261" t="s">
        <v>154</v>
      </c>
      <c r="G21" s="502" t="s">
        <v>354</v>
      </c>
      <c r="H21" s="481" t="s">
        <v>355</v>
      </c>
      <c r="I21" s="486" t="s">
        <v>336</v>
      </c>
      <c r="J21" s="481"/>
    </row>
    <row r="22" spans="2:11" ht="32.5" customHeight="1" x14ac:dyDescent="0.35">
      <c r="B22" s="263" t="s">
        <v>356</v>
      </c>
      <c r="C22" s="219"/>
      <c r="D22" s="219"/>
      <c r="E22" s="219"/>
      <c r="F22" s="261" t="s">
        <v>154</v>
      </c>
      <c r="G22" s="502"/>
      <c r="H22" s="481"/>
      <c r="I22" s="486"/>
      <c r="J22" s="481"/>
      <c r="K22" s="262" t="s">
        <v>357</v>
      </c>
    </row>
    <row r="23" spans="2:11" ht="32.5" customHeight="1" x14ac:dyDescent="0.35">
      <c r="B23" s="263" t="s">
        <v>358</v>
      </c>
      <c r="C23" s="219"/>
      <c r="D23" s="219"/>
      <c r="E23" s="219"/>
      <c r="F23" s="261" t="s">
        <v>154</v>
      </c>
      <c r="G23" s="502"/>
      <c r="H23" s="481"/>
      <c r="I23" s="486"/>
      <c r="J23" s="481"/>
    </row>
    <row r="24" spans="2:11" ht="18" customHeight="1" x14ac:dyDescent="0.35">
      <c r="B24" s="268"/>
      <c r="C24" s="219"/>
      <c r="D24" s="219">
        <f ca="1">COUNTIF(D21:D24,"X")</f>
        <v>0</v>
      </c>
      <c r="E24" s="219">
        <f ca="1">COUNTIF(E21:E24,"X")</f>
        <v>0</v>
      </c>
      <c r="F24" s="261">
        <f>COUNTIF(F21:F23,"X")</f>
        <v>3</v>
      </c>
      <c r="G24" s="63"/>
      <c r="H24" s="63"/>
      <c r="I24" s="264"/>
      <c r="J24" s="63"/>
    </row>
    <row r="25" spans="2:11" ht="32.5" customHeight="1" x14ac:dyDescent="0.35">
      <c r="B25" s="275" t="s">
        <v>359</v>
      </c>
      <c r="C25" s="492"/>
      <c r="D25" s="493">
        <f>((D32*1)+(E32*0.5)+(F32*0))/5</f>
        <v>0.5</v>
      </c>
      <c r="E25" s="432"/>
      <c r="F25" s="432"/>
      <c r="G25" s="482"/>
      <c r="H25" s="482"/>
      <c r="I25" s="483"/>
      <c r="J25" s="481" t="s">
        <v>360</v>
      </c>
    </row>
    <row r="26" spans="2:11" ht="32.5" customHeight="1" x14ac:dyDescent="0.35">
      <c r="B26" s="271" t="s">
        <v>361</v>
      </c>
      <c r="C26" s="492"/>
      <c r="D26" s="432"/>
      <c r="E26" s="432"/>
      <c r="F26" s="432"/>
      <c r="G26" s="482"/>
      <c r="H26" s="482"/>
      <c r="I26" s="484"/>
      <c r="J26" s="481"/>
    </row>
    <row r="27" spans="2:11" ht="32.5" customHeight="1" x14ac:dyDescent="0.35">
      <c r="B27" s="272" t="s">
        <v>362</v>
      </c>
      <c r="C27" s="219"/>
      <c r="D27" s="219"/>
      <c r="E27" s="219" t="s">
        <v>154</v>
      </c>
      <c r="F27" s="261"/>
      <c r="G27" s="485" t="s">
        <v>363</v>
      </c>
      <c r="H27" s="481" t="s">
        <v>364</v>
      </c>
      <c r="I27" s="485" t="s">
        <v>365</v>
      </c>
      <c r="J27" s="481"/>
    </row>
    <row r="28" spans="2:11" ht="32.5" customHeight="1" x14ac:dyDescent="0.35">
      <c r="B28" s="273" t="s">
        <v>366</v>
      </c>
      <c r="C28" s="219"/>
      <c r="D28" s="219"/>
      <c r="E28" s="219" t="s">
        <v>154</v>
      </c>
      <c r="F28" s="261"/>
      <c r="G28" s="485"/>
      <c r="H28" s="481"/>
      <c r="I28" s="485"/>
      <c r="J28" s="481"/>
    </row>
    <row r="29" spans="2:11" ht="32.5" customHeight="1" x14ac:dyDescent="0.35">
      <c r="B29" s="273" t="s">
        <v>367</v>
      </c>
      <c r="C29" s="219"/>
      <c r="D29" s="219"/>
      <c r="E29" s="219" t="s">
        <v>154</v>
      </c>
      <c r="F29" s="261"/>
      <c r="G29" s="485"/>
      <c r="H29" s="481"/>
      <c r="I29" s="485"/>
      <c r="J29" s="481"/>
    </row>
    <row r="30" spans="2:11" ht="32.5" customHeight="1" x14ac:dyDescent="0.35">
      <c r="B30" s="273" t="s">
        <v>368</v>
      </c>
      <c r="C30" s="219"/>
      <c r="D30" s="219"/>
      <c r="E30" s="219" t="s">
        <v>154</v>
      </c>
      <c r="F30" s="261"/>
      <c r="G30" s="485"/>
      <c r="H30" s="481"/>
      <c r="I30" s="485"/>
      <c r="J30" s="481"/>
    </row>
    <row r="31" spans="2:11" ht="32.5" customHeight="1" x14ac:dyDescent="0.35">
      <c r="B31" s="273" t="s">
        <v>369</v>
      </c>
      <c r="C31" s="219"/>
      <c r="D31" s="219"/>
      <c r="E31" s="219" t="s">
        <v>154</v>
      </c>
      <c r="F31" s="261"/>
      <c r="G31" s="485"/>
      <c r="H31" s="481"/>
      <c r="I31" s="485"/>
      <c r="J31" s="481"/>
    </row>
    <row r="32" spans="2:11" ht="15" customHeight="1" x14ac:dyDescent="0.35">
      <c r="B32" s="268"/>
      <c r="C32" s="219"/>
      <c r="D32" s="219">
        <f>COUNTIF(D27:D31,"X")</f>
        <v>0</v>
      </c>
      <c r="E32" s="219">
        <f>COUNTIF(E27:E31,"X")</f>
        <v>5</v>
      </c>
      <c r="F32" s="261">
        <f>COUNTIF(F27:F31,"X")</f>
        <v>0</v>
      </c>
      <c r="G32" s="63"/>
      <c r="H32" s="63"/>
      <c r="I32" s="63"/>
      <c r="J32" s="63"/>
    </row>
    <row r="33" spans="2:10" ht="32.5" customHeight="1" x14ac:dyDescent="0.35">
      <c r="B33" s="274" t="s">
        <v>370</v>
      </c>
      <c r="C33" s="500"/>
      <c r="D33" s="493">
        <f>AVERAGE(D34,D39,D45)</f>
        <v>0.83333333333333337</v>
      </c>
      <c r="E33" s="432"/>
      <c r="F33" s="432"/>
      <c r="G33" s="483"/>
      <c r="H33" s="483"/>
      <c r="I33" s="483"/>
      <c r="J33" s="481" t="s">
        <v>371</v>
      </c>
    </row>
    <row r="34" spans="2:10" ht="32.5" customHeight="1" x14ac:dyDescent="0.35">
      <c r="B34" s="275" t="s">
        <v>372</v>
      </c>
      <c r="C34" s="501"/>
      <c r="D34" s="493">
        <f>((D38*1)+(E38*0.5)+(F38*0))/2</f>
        <v>0.5</v>
      </c>
      <c r="E34" s="432"/>
      <c r="F34" s="432"/>
      <c r="G34" s="484"/>
      <c r="H34" s="484"/>
      <c r="I34" s="484"/>
      <c r="J34" s="481"/>
    </row>
    <row r="35" spans="2:10" ht="32.5" customHeight="1" x14ac:dyDescent="0.35">
      <c r="B35" s="270" t="s">
        <v>373</v>
      </c>
      <c r="C35" s="219"/>
      <c r="D35" s="219"/>
      <c r="E35" s="219" t="s">
        <v>154</v>
      </c>
      <c r="F35" s="261"/>
      <c r="G35" s="481" t="s">
        <v>374</v>
      </c>
      <c r="H35" s="481" t="s">
        <v>375</v>
      </c>
      <c r="I35" s="481" t="s">
        <v>376</v>
      </c>
      <c r="J35" s="481"/>
    </row>
    <row r="36" spans="2:10" ht="32.5" customHeight="1" x14ac:dyDescent="0.35">
      <c r="B36" s="271" t="s">
        <v>377</v>
      </c>
      <c r="C36" s="219"/>
      <c r="D36" s="219"/>
      <c r="E36" s="219" t="s">
        <v>154</v>
      </c>
      <c r="F36" s="261"/>
      <c r="G36" s="481"/>
      <c r="H36" s="481"/>
      <c r="I36" s="481"/>
      <c r="J36" s="481"/>
    </row>
    <row r="37" spans="2:10" ht="32.5" customHeight="1" x14ac:dyDescent="0.35">
      <c r="B37" s="271" t="s">
        <v>378</v>
      </c>
      <c r="C37" s="219"/>
      <c r="D37" s="219"/>
      <c r="E37" s="219"/>
      <c r="F37" s="261"/>
      <c r="G37" s="63"/>
      <c r="H37" s="63"/>
      <c r="I37" s="63"/>
      <c r="J37" s="481"/>
    </row>
    <row r="38" spans="2:10" ht="19.5" customHeight="1" x14ac:dyDescent="0.35">
      <c r="B38" s="271"/>
      <c r="C38" s="219"/>
      <c r="D38" s="219">
        <f>COUNTIF(D35:D36,"X")</f>
        <v>0</v>
      </c>
      <c r="E38" s="219">
        <f>COUNTIF(E35:E36,"X")</f>
        <v>2</v>
      </c>
      <c r="F38" s="261">
        <f>COUNTIF(F35:F36,"X")</f>
        <v>0</v>
      </c>
      <c r="G38" s="63"/>
      <c r="H38" s="63"/>
      <c r="I38" s="63"/>
      <c r="J38" s="63"/>
    </row>
    <row r="39" spans="2:10" ht="32.5" customHeight="1" x14ac:dyDescent="0.35">
      <c r="B39" s="269" t="s">
        <v>379</v>
      </c>
      <c r="C39" s="492"/>
      <c r="D39" s="494">
        <f>((D44*1)+(E44*0.5)+(F44*0))/3</f>
        <v>1</v>
      </c>
      <c r="E39" s="495"/>
      <c r="F39" s="496"/>
      <c r="G39" s="482"/>
      <c r="H39" s="482"/>
      <c r="I39" s="483"/>
      <c r="J39" s="481" t="s">
        <v>380</v>
      </c>
    </row>
    <row r="40" spans="2:10" ht="32.5" customHeight="1" x14ac:dyDescent="0.35">
      <c r="B40" s="271" t="s">
        <v>381</v>
      </c>
      <c r="C40" s="492"/>
      <c r="D40" s="497"/>
      <c r="E40" s="498"/>
      <c r="F40" s="499"/>
      <c r="G40" s="482"/>
      <c r="H40" s="482"/>
      <c r="I40" s="484"/>
      <c r="J40" s="481"/>
    </row>
    <row r="41" spans="2:10" ht="32.5" customHeight="1" x14ac:dyDescent="0.35">
      <c r="B41" s="271" t="s">
        <v>382</v>
      </c>
      <c r="C41" s="219"/>
      <c r="D41" s="219" t="s">
        <v>154</v>
      </c>
      <c r="E41" s="219"/>
      <c r="F41" s="261"/>
      <c r="G41" s="481" t="s">
        <v>383</v>
      </c>
      <c r="H41" s="481" t="s">
        <v>384</v>
      </c>
      <c r="I41" s="481" t="s">
        <v>383</v>
      </c>
      <c r="J41" s="481"/>
    </row>
    <row r="42" spans="2:10" ht="32.5" customHeight="1" x14ac:dyDescent="0.35">
      <c r="B42" s="271" t="s">
        <v>385</v>
      </c>
      <c r="C42" s="219"/>
      <c r="D42" s="219" t="s">
        <v>154</v>
      </c>
      <c r="E42" s="219"/>
      <c r="F42" s="261"/>
      <c r="G42" s="481"/>
      <c r="H42" s="481"/>
      <c r="I42" s="481"/>
      <c r="J42" s="481"/>
    </row>
    <row r="43" spans="2:10" ht="32.5" customHeight="1" x14ac:dyDescent="0.35">
      <c r="B43" s="270" t="s">
        <v>386</v>
      </c>
      <c r="C43" s="219"/>
      <c r="D43" s="219" t="s">
        <v>154</v>
      </c>
      <c r="E43" s="219"/>
      <c r="F43" s="261"/>
      <c r="G43" s="481"/>
      <c r="H43" s="481"/>
      <c r="I43" s="481"/>
      <c r="J43" s="481"/>
    </row>
    <row r="44" spans="2:10" ht="15" customHeight="1" x14ac:dyDescent="0.35">
      <c r="B44" s="270"/>
      <c r="C44" s="219"/>
      <c r="D44" s="219">
        <f>COUNTIF(D41:D43,"X")</f>
        <v>3</v>
      </c>
      <c r="E44" s="219">
        <f>COUNTIF(E41:E43,"X")</f>
        <v>0</v>
      </c>
      <c r="F44" s="261">
        <f>COUNTIF(F41:F43,"X")</f>
        <v>0</v>
      </c>
      <c r="G44" s="63"/>
      <c r="H44" s="276"/>
      <c r="I44" s="276"/>
      <c r="J44" s="63"/>
    </row>
    <row r="45" spans="2:10" ht="32.5" customHeight="1" x14ac:dyDescent="0.35">
      <c r="B45" s="269" t="s">
        <v>387</v>
      </c>
      <c r="C45" s="492"/>
      <c r="D45" s="494">
        <f>((D55*1)+(E55*0.5)+(F55*0))/7</f>
        <v>1</v>
      </c>
      <c r="E45" s="495"/>
      <c r="F45" s="496"/>
      <c r="G45" s="482"/>
      <c r="H45" s="482"/>
      <c r="I45" s="483"/>
      <c r="J45" s="481" t="s">
        <v>388</v>
      </c>
    </row>
    <row r="46" spans="2:10" ht="32.5" customHeight="1" x14ac:dyDescent="0.35">
      <c r="B46" s="271" t="s">
        <v>389</v>
      </c>
      <c r="C46" s="492"/>
      <c r="D46" s="497"/>
      <c r="E46" s="498"/>
      <c r="F46" s="499"/>
      <c r="G46" s="482"/>
      <c r="H46" s="482"/>
      <c r="I46" s="484"/>
      <c r="J46" s="481"/>
    </row>
    <row r="47" spans="2:10" ht="32.5" customHeight="1" x14ac:dyDescent="0.35">
      <c r="B47" s="270" t="s">
        <v>390</v>
      </c>
      <c r="C47" s="219"/>
      <c r="D47" s="219" t="s">
        <v>154</v>
      </c>
      <c r="E47" s="219"/>
      <c r="F47" s="261"/>
      <c r="G47" s="487" t="s">
        <v>383</v>
      </c>
      <c r="H47" s="487" t="s">
        <v>391</v>
      </c>
      <c r="I47" s="487" t="s">
        <v>383</v>
      </c>
      <c r="J47" s="481"/>
    </row>
    <row r="48" spans="2:10" ht="32.5" customHeight="1" x14ac:dyDescent="0.35">
      <c r="B48" s="271" t="s">
        <v>392</v>
      </c>
      <c r="C48" s="219"/>
      <c r="D48" s="219" t="s">
        <v>154</v>
      </c>
      <c r="E48" s="219"/>
      <c r="F48" s="261"/>
      <c r="G48" s="488"/>
      <c r="H48" s="488"/>
      <c r="I48" s="488"/>
      <c r="J48" s="481"/>
    </row>
    <row r="49" spans="2:10" ht="32.5" customHeight="1" x14ac:dyDescent="0.35">
      <c r="B49" s="271" t="s">
        <v>393</v>
      </c>
      <c r="C49" s="219"/>
      <c r="D49" s="219" t="s">
        <v>154</v>
      </c>
      <c r="E49" s="219"/>
      <c r="F49" s="261"/>
      <c r="G49" s="488"/>
      <c r="H49" s="488"/>
      <c r="I49" s="488"/>
      <c r="J49" s="481"/>
    </row>
    <row r="50" spans="2:10" ht="32.5" customHeight="1" x14ac:dyDescent="0.35">
      <c r="B50" s="270" t="s">
        <v>394</v>
      </c>
      <c r="C50" s="219"/>
      <c r="D50" s="219" t="s">
        <v>154</v>
      </c>
      <c r="E50" s="219"/>
      <c r="F50" s="261"/>
      <c r="G50" s="488"/>
      <c r="H50" s="488"/>
      <c r="I50" s="488"/>
      <c r="J50" s="481"/>
    </row>
    <row r="51" spans="2:10" ht="32.5" customHeight="1" x14ac:dyDescent="0.35">
      <c r="B51" s="270" t="s">
        <v>395</v>
      </c>
      <c r="C51" s="219"/>
      <c r="D51" s="219" t="s">
        <v>154</v>
      </c>
      <c r="E51" s="219"/>
      <c r="F51" s="261"/>
      <c r="G51" s="488"/>
      <c r="H51" s="488"/>
      <c r="I51" s="488"/>
      <c r="J51" s="481"/>
    </row>
    <row r="52" spans="2:10" ht="32.5" customHeight="1" x14ac:dyDescent="0.35">
      <c r="B52" s="270" t="s">
        <v>396</v>
      </c>
      <c r="C52" s="219"/>
      <c r="D52" s="219" t="s">
        <v>154</v>
      </c>
      <c r="E52" s="219"/>
      <c r="F52" s="261"/>
      <c r="G52" s="488"/>
      <c r="H52" s="488"/>
      <c r="I52" s="488"/>
      <c r="J52" s="481"/>
    </row>
    <row r="53" spans="2:10" ht="32.5" customHeight="1" x14ac:dyDescent="0.35">
      <c r="B53" s="271" t="s">
        <v>397</v>
      </c>
      <c r="C53" s="219"/>
      <c r="D53" s="219" t="s">
        <v>154</v>
      </c>
      <c r="E53" s="219"/>
      <c r="F53" s="261"/>
      <c r="G53" s="488"/>
      <c r="H53" s="488"/>
      <c r="I53" s="488"/>
      <c r="J53" s="481"/>
    </row>
    <row r="54" spans="2:10" ht="32.5" customHeight="1" x14ac:dyDescent="0.35">
      <c r="B54" s="271" t="s">
        <v>398</v>
      </c>
      <c r="C54" s="219"/>
      <c r="D54" s="219"/>
      <c r="E54" s="219"/>
      <c r="F54" s="261"/>
      <c r="G54" s="489"/>
      <c r="H54" s="489"/>
      <c r="I54" s="489"/>
      <c r="J54" s="481"/>
    </row>
    <row r="55" spans="2:10" ht="17.5" customHeight="1" thickBot="1" x14ac:dyDescent="0.4">
      <c r="B55" s="277"/>
      <c r="C55" s="278"/>
      <c r="D55" s="278">
        <f>COUNTIF(D47:D53,"X")</f>
        <v>7</v>
      </c>
      <c r="E55" s="278">
        <f>COUNTIF(E47:E53,"X")</f>
        <v>0</v>
      </c>
      <c r="F55" s="279">
        <f>COUNTIF(F47:F53,"X")</f>
        <v>0</v>
      </c>
      <c r="G55" s="63"/>
      <c r="H55" s="276"/>
      <c r="I55" s="276"/>
      <c r="J55" s="63"/>
    </row>
    <row r="57" spans="2:10" ht="32.5" customHeight="1" x14ac:dyDescent="0.35">
      <c r="B57" s="167" t="s">
        <v>253</v>
      </c>
      <c r="C57" s="167" t="s">
        <v>254</v>
      </c>
    </row>
    <row r="58" spans="2:10" ht="32.5" customHeight="1" x14ac:dyDescent="0.35">
      <c r="B58" s="217" t="str">
        <f>+B4</f>
        <v>7.1 RECURSOS</v>
      </c>
      <c r="C58" s="232">
        <f>+D4</f>
        <v>0</v>
      </c>
      <c r="D58" s="280"/>
    </row>
    <row r="59" spans="2:10" ht="32.5" customHeight="1" x14ac:dyDescent="0.35">
      <c r="B59" s="217" t="str">
        <f>+B11</f>
        <v>7.2 COMPETENCIA</v>
      </c>
      <c r="C59" s="232">
        <f>+D11</f>
        <v>0.5</v>
      </c>
      <c r="D59" s="280"/>
    </row>
    <row r="60" spans="2:10" ht="32.5" customHeight="1" x14ac:dyDescent="0.35">
      <c r="B60" s="217" t="str">
        <f>+B19</f>
        <v>7.3 TOMA DE CONCIENCIA</v>
      </c>
      <c r="C60" s="232">
        <f ca="1">+D19</f>
        <v>0</v>
      </c>
      <c r="D60" s="280"/>
    </row>
    <row r="61" spans="2:10" ht="32.5" customHeight="1" x14ac:dyDescent="0.35">
      <c r="B61" s="217" t="str">
        <f>+B25</f>
        <v>7.4 COMUNICACIÓN</v>
      </c>
      <c r="C61" s="232">
        <f>+D25</f>
        <v>0.5</v>
      </c>
      <c r="D61" s="280"/>
    </row>
    <row r="62" spans="2:10" ht="32.5" customHeight="1" x14ac:dyDescent="0.35">
      <c r="B62" s="217" t="str">
        <f>+B33</f>
        <v>7.5 INFORMACIÓN DOCUMENTADA</v>
      </c>
      <c r="C62" s="232">
        <f>+D33</f>
        <v>0.83333333333333337</v>
      </c>
      <c r="D62" s="280"/>
    </row>
    <row r="63" spans="2:10" ht="32.5" customHeight="1" x14ac:dyDescent="0.35">
      <c r="B63" s="133" t="s">
        <v>255</v>
      </c>
      <c r="C63" s="218">
        <v>0.37</v>
      </c>
      <c r="D63" s="281"/>
    </row>
    <row r="66" spans="2:2" ht="21" customHeight="1" x14ac:dyDescent="0.35">
      <c r="B66" s="262" t="s">
        <v>195</v>
      </c>
    </row>
    <row r="67" spans="2:2" ht="22.5" customHeight="1" x14ac:dyDescent="0.35">
      <c r="B67" s="262" t="s">
        <v>196</v>
      </c>
    </row>
    <row r="68" spans="2:2" ht="25.5" customHeight="1" x14ac:dyDescent="0.35">
      <c r="B68" s="262" t="s">
        <v>197</v>
      </c>
    </row>
    <row r="75" spans="2:2" ht="19" customHeight="1" x14ac:dyDescent="0.35"/>
    <row r="76" spans="2:2" ht="17.5" customHeight="1" x14ac:dyDescent="0.35"/>
    <row r="77" spans="2:2" ht="15" customHeight="1" x14ac:dyDescent="0.35"/>
  </sheetData>
  <mergeCells count="62">
    <mergeCell ref="G35:G36"/>
    <mergeCell ref="G21:G23"/>
    <mergeCell ref="H35:H36"/>
    <mergeCell ref="I45:I46"/>
    <mergeCell ref="I47:I54"/>
    <mergeCell ref="I35:I36"/>
    <mergeCell ref="H21:H23"/>
    <mergeCell ref="I21:I23"/>
    <mergeCell ref="I41:I43"/>
    <mergeCell ref="H27:H31"/>
    <mergeCell ref="D33:F33"/>
    <mergeCell ref="D34:F34"/>
    <mergeCell ref="C4:C5"/>
    <mergeCell ref="D4:F5"/>
    <mergeCell ref="G4:G5"/>
    <mergeCell ref="G19:H20"/>
    <mergeCell ref="H11:H12"/>
    <mergeCell ref="H13:H16"/>
    <mergeCell ref="H6:H9"/>
    <mergeCell ref="G11:G12"/>
    <mergeCell ref="G13:G16"/>
    <mergeCell ref="G27:G31"/>
    <mergeCell ref="C33:C34"/>
    <mergeCell ref="G33:G34"/>
    <mergeCell ref="H33:H34"/>
    <mergeCell ref="G25:H26"/>
    <mergeCell ref="C45:C46"/>
    <mergeCell ref="D45:F46"/>
    <mergeCell ref="G45:G46"/>
    <mergeCell ref="H45:H46"/>
    <mergeCell ref="C39:C40"/>
    <mergeCell ref="D39:F40"/>
    <mergeCell ref="G41:G43"/>
    <mergeCell ref="H41:H43"/>
    <mergeCell ref="A1:J1"/>
    <mergeCell ref="J4:J9"/>
    <mergeCell ref="J11:J16"/>
    <mergeCell ref="J19:J23"/>
    <mergeCell ref="J25:J31"/>
    <mergeCell ref="H4:H5"/>
    <mergeCell ref="C11:C12"/>
    <mergeCell ref="D11:F12"/>
    <mergeCell ref="C25:C26"/>
    <mergeCell ref="D25:F26"/>
    <mergeCell ref="C19:C20"/>
    <mergeCell ref="D19:F20"/>
    <mergeCell ref="J39:J43"/>
    <mergeCell ref="J45:J54"/>
    <mergeCell ref="G39:G40"/>
    <mergeCell ref="H39:H40"/>
    <mergeCell ref="I4:I5"/>
    <mergeCell ref="I11:I12"/>
    <mergeCell ref="I19:I20"/>
    <mergeCell ref="I25:I26"/>
    <mergeCell ref="I33:I34"/>
    <mergeCell ref="I39:I40"/>
    <mergeCell ref="I27:I31"/>
    <mergeCell ref="J33:J37"/>
    <mergeCell ref="I6:I9"/>
    <mergeCell ref="I13:I16"/>
    <mergeCell ref="G47:G54"/>
    <mergeCell ref="H47:H54"/>
  </mergeCells>
  <dataValidations count="1">
    <dataValidation type="list" allowBlank="1" showInputMessage="1" showErrorMessage="1" sqref="C6:F9 D20:F21 C13:F16 D35:D37 C28:C30 D26:F30 D41:D43 E41:F41 D51:D53 C22:F22 E31 E35:F36 D44:F44 D47:F50 C35:C50" xr:uid="{4F25843C-E1D7-4158-9209-1B88CC269996}">
      <formula1>"X"</formula1>
    </dataValidation>
  </dataValidations>
  <pageMargins left="0.7" right="0.7" top="0.75" bottom="0.75" header="0.3" footer="0.3"/>
  <pageSetup scale="54"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5C257-AB67-4972-9588-90AF26997276}">
  <sheetPr codeName="Hoja7"/>
  <dimension ref="A1:J35"/>
  <sheetViews>
    <sheetView showGridLines="0" topLeftCell="A8" zoomScale="85" zoomScaleNormal="85" zoomScaleSheetLayoutView="90" workbookViewId="0">
      <selection activeCell="L4" sqref="L4"/>
    </sheetView>
  </sheetViews>
  <sheetFormatPr baseColWidth="10" defaultColWidth="11.453125" defaultRowHeight="10.5" x14ac:dyDescent="0.35"/>
  <cols>
    <col min="1" max="1" width="3.81640625" style="60" customWidth="1"/>
    <col min="2" max="2" width="79.7265625" style="233" customWidth="1"/>
    <col min="3" max="3" width="11.81640625" style="234" bestFit="1" customWidth="1"/>
    <col min="4" max="4" width="12.453125" style="234" customWidth="1"/>
    <col min="5" max="5" width="10.1796875" style="234" customWidth="1"/>
    <col min="6" max="6" width="11.81640625" style="234" customWidth="1"/>
    <col min="7" max="7" width="40.54296875" style="60" customWidth="1"/>
    <col min="8" max="9" width="32.81640625" style="60" customWidth="1"/>
    <col min="10" max="10" width="33.81640625" style="60" customWidth="1"/>
    <col min="11" max="16384" width="11.453125" style="60"/>
  </cols>
  <sheetData>
    <row r="1" spans="1:10" ht="15.65" customHeight="1" x14ac:dyDescent="0.35">
      <c r="A1" s="490" t="s">
        <v>198</v>
      </c>
      <c r="B1" s="491"/>
      <c r="C1" s="491"/>
      <c r="D1" s="491"/>
      <c r="E1" s="491"/>
      <c r="F1" s="491"/>
      <c r="G1" s="491"/>
      <c r="H1" s="491"/>
      <c r="I1" s="491"/>
      <c r="J1" s="491"/>
    </row>
    <row r="2" spans="1:10" x14ac:dyDescent="0.35">
      <c r="B2" s="251"/>
      <c r="C2" s="252"/>
      <c r="D2" s="253"/>
      <c r="E2" s="253"/>
      <c r="F2" s="253"/>
      <c r="G2" s="254"/>
      <c r="H2" s="254"/>
    </row>
    <row r="3" spans="1:10" ht="33.75" customHeight="1" x14ac:dyDescent="0.35">
      <c r="B3" s="255" t="s">
        <v>329</v>
      </c>
      <c r="C3" s="61" t="s">
        <v>143</v>
      </c>
      <c r="D3" s="61" t="s">
        <v>144</v>
      </c>
      <c r="E3" s="61" t="s">
        <v>145</v>
      </c>
      <c r="F3" s="61" t="s">
        <v>146</v>
      </c>
      <c r="G3" s="61" t="s">
        <v>147</v>
      </c>
      <c r="H3" s="61" t="s">
        <v>148</v>
      </c>
      <c r="I3" s="61" t="s">
        <v>149</v>
      </c>
      <c r="J3" s="61" t="s">
        <v>150</v>
      </c>
    </row>
    <row r="4" spans="1:10" ht="72.650000000000006" customHeight="1" x14ac:dyDescent="0.35">
      <c r="B4" s="239" t="s">
        <v>399</v>
      </c>
      <c r="C4" s="503"/>
      <c r="D4" s="493">
        <f>((D9*1)+(E9*0.5)+(F9*0))/3</f>
        <v>0</v>
      </c>
      <c r="E4" s="493"/>
      <c r="F4" s="493"/>
      <c r="G4" s="503"/>
      <c r="H4" s="503"/>
      <c r="I4" s="504"/>
      <c r="J4" s="432" t="s">
        <v>400</v>
      </c>
    </row>
    <row r="5" spans="1:10" ht="30" x14ac:dyDescent="0.35">
      <c r="B5" s="243" t="s">
        <v>401</v>
      </c>
      <c r="C5" s="503"/>
      <c r="D5" s="493"/>
      <c r="E5" s="493"/>
      <c r="F5" s="493"/>
      <c r="G5" s="503"/>
      <c r="H5" s="503"/>
      <c r="I5" s="505"/>
      <c r="J5" s="432"/>
    </row>
    <row r="6" spans="1:10" ht="33.75" customHeight="1" x14ac:dyDescent="0.35">
      <c r="B6" s="247" t="s">
        <v>402</v>
      </c>
      <c r="C6" s="198"/>
      <c r="D6" s="198"/>
      <c r="E6" s="198"/>
      <c r="F6" s="198" t="s">
        <v>154</v>
      </c>
      <c r="G6" s="481" t="s">
        <v>403</v>
      </c>
      <c r="H6" s="481" t="s">
        <v>404</v>
      </c>
      <c r="I6" s="481" t="s">
        <v>405</v>
      </c>
      <c r="J6" s="432"/>
    </row>
    <row r="7" spans="1:10" ht="20" x14ac:dyDescent="0.35">
      <c r="B7" s="246" t="s">
        <v>406</v>
      </c>
      <c r="C7" s="198"/>
      <c r="D7" s="198"/>
      <c r="E7" s="198"/>
      <c r="F7" s="198" t="s">
        <v>154</v>
      </c>
      <c r="G7" s="481"/>
      <c r="H7" s="481"/>
      <c r="I7" s="481"/>
      <c r="J7" s="432"/>
    </row>
    <row r="8" spans="1:10" ht="92.25" customHeight="1" x14ac:dyDescent="0.35">
      <c r="B8" s="241" t="s">
        <v>407</v>
      </c>
      <c r="C8" s="198"/>
      <c r="D8" s="198"/>
      <c r="E8" s="198"/>
      <c r="F8" s="198" t="s">
        <v>154</v>
      </c>
      <c r="G8" s="481"/>
      <c r="H8" s="481"/>
      <c r="I8" s="481"/>
      <c r="J8" s="432"/>
    </row>
    <row r="9" spans="1:10" x14ac:dyDescent="0.35">
      <c r="B9" s="241"/>
      <c r="C9" s="197"/>
      <c r="D9" s="197">
        <f>COUNTIF(D6:D8,"X")</f>
        <v>0</v>
      </c>
      <c r="E9" s="197">
        <f>COUNTIF(E6:E8,"X")</f>
        <v>0</v>
      </c>
      <c r="F9" s="197">
        <f>COUNTIF(F6:F8,"X")</f>
        <v>3</v>
      </c>
      <c r="G9" s="24"/>
      <c r="H9" s="24"/>
      <c r="I9" s="24"/>
      <c r="J9" s="24"/>
    </row>
    <row r="10" spans="1:10" ht="23.5" customHeight="1" x14ac:dyDescent="0.35">
      <c r="B10" s="256" t="s">
        <v>408</v>
      </c>
      <c r="C10" s="503"/>
      <c r="D10" s="493">
        <f>((D14*1)+(E14*0.5)+(F14*0))/2</f>
        <v>0.5</v>
      </c>
      <c r="E10" s="432"/>
      <c r="F10" s="432"/>
      <c r="G10" s="503"/>
      <c r="H10" s="503"/>
      <c r="I10" s="330"/>
      <c r="J10" s="432" t="s">
        <v>400</v>
      </c>
    </row>
    <row r="11" spans="1:10" ht="45" customHeight="1" x14ac:dyDescent="0.35">
      <c r="B11" s="241"/>
      <c r="C11" s="503"/>
      <c r="D11" s="432"/>
      <c r="E11" s="432"/>
      <c r="F11" s="432"/>
      <c r="G11" s="503"/>
      <c r="H11" s="503"/>
      <c r="I11" s="330"/>
      <c r="J11" s="432"/>
    </row>
    <row r="12" spans="1:10" ht="181.5" customHeight="1" x14ac:dyDescent="0.35">
      <c r="B12" s="241" t="s">
        <v>409</v>
      </c>
      <c r="C12" s="198"/>
      <c r="D12" s="198" t="s">
        <v>154</v>
      </c>
      <c r="E12" s="198"/>
      <c r="F12" s="198"/>
      <c r="G12" s="63" t="s">
        <v>410</v>
      </c>
      <c r="H12" s="63" t="s">
        <v>411</v>
      </c>
      <c r="I12" s="63" t="s">
        <v>412</v>
      </c>
      <c r="J12" s="432"/>
    </row>
    <row r="13" spans="1:10" ht="31.5" customHeight="1" x14ac:dyDescent="0.35">
      <c r="B13" s="243" t="s">
        <v>413</v>
      </c>
      <c r="C13" s="198"/>
      <c r="D13" s="198"/>
      <c r="E13" s="198"/>
      <c r="F13" s="198" t="s">
        <v>154</v>
      </c>
      <c r="G13" s="63" t="s">
        <v>414</v>
      </c>
      <c r="H13" s="63" t="s">
        <v>415</v>
      </c>
      <c r="I13" s="63" t="s">
        <v>176</v>
      </c>
      <c r="J13" s="432"/>
    </row>
    <row r="14" spans="1:10" x14ac:dyDescent="0.35">
      <c r="B14" s="241"/>
      <c r="C14" s="197"/>
      <c r="D14" s="197">
        <f>COUNTIF(D12:D13,"X")</f>
        <v>1</v>
      </c>
      <c r="E14" s="197">
        <f>COUNTIF(E12:E13,"X")</f>
        <v>0</v>
      </c>
      <c r="F14" s="197">
        <f>COUNTIF(F12:F13,"X")</f>
        <v>1</v>
      </c>
      <c r="G14" s="24"/>
      <c r="H14" s="24"/>
      <c r="I14" s="24"/>
      <c r="J14" s="24"/>
    </row>
    <row r="15" spans="1:10" ht="26.15" customHeight="1" x14ac:dyDescent="0.35">
      <c r="B15" s="257" t="s">
        <v>416</v>
      </c>
      <c r="C15" s="330"/>
      <c r="D15" s="493">
        <f>((D18*1)+(E18*0.5)+(F18*0))/2</f>
        <v>0.5</v>
      </c>
      <c r="E15" s="493"/>
      <c r="F15" s="493"/>
      <c r="G15" s="493"/>
      <c r="H15" s="493"/>
      <c r="I15" s="329"/>
      <c r="J15" s="432" t="s">
        <v>400</v>
      </c>
    </row>
    <row r="16" spans="1:10" ht="107.5" customHeight="1" x14ac:dyDescent="0.35">
      <c r="B16" s="243" t="s">
        <v>417</v>
      </c>
      <c r="C16" s="197"/>
      <c r="D16" s="197" t="s">
        <v>154</v>
      </c>
      <c r="E16" s="197"/>
      <c r="F16" s="197"/>
      <c r="G16" s="63" t="s">
        <v>418</v>
      </c>
      <c r="H16" s="25" t="s">
        <v>419</v>
      </c>
      <c r="I16" s="25" t="s">
        <v>420</v>
      </c>
      <c r="J16" s="432"/>
    </row>
    <row r="17" spans="2:10" ht="54" customHeight="1" x14ac:dyDescent="0.35">
      <c r="B17" s="241" t="s">
        <v>421</v>
      </c>
      <c r="C17" s="197"/>
      <c r="D17" s="197"/>
      <c r="E17" s="197"/>
      <c r="F17" s="197" t="s">
        <v>154</v>
      </c>
      <c r="G17" s="25" t="s">
        <v>422</v>
      </c>
      <c r="H17" s="63" t="s">
        <v>415</v>
      </c>
      <c r="I17" s="25"/>
      <c r="J17" s="432"/>
    </row>
    <row r="18" spans="2:10" x14ac:dyDescent="0.35">
      <c r="B18" s="241"/>
      <c r="C18" s="197"/>
      <c r="D18" s="197">
        <f>COUNTIF(D16:D17,"X")</f>
        <v>1</v>
      </c>
      <c r="E18" s="197">
        <f>COUNTIF(E16:E17,"X")</f>
        <v>0</v>
      </c>
      <c r="F18" s="197">
        <f>COUNTIF(F16:F17,"X")</f>
        <v>1</v>
      </c>
      <c r="G18" s="24"/>
      <c r="H18" s="24"/>
      <c r="I18" s="24"/>
      <c r="J18" s="24"/>
    </row>
    <row r="19" spans="2:10" x14ac:dyDescent="0.35">
      <c r="B19" s="258"/>
    </row>
    <row r="20" spans="2:10" x14ac:dyDescent="0.35">
      <c r="B20" s="258"/>
    </row>
    <row r="21" spans="2:10" x14ac:dyDescent="0.35">
      <c r="B21" s="126" t="s">
        <v>253</v>
      </c>
      <c r="C21" s="126" t="s">
        <v>254</v>
      </c>
    </row>
    <row r="22" spans="2:10" x14ac:dyDescent="0.35">
      <c r="B22" s="249" t="s">
        <v>399</v>
      </c>
      <c r="C22" s="259">
        <f>D4</f>
        <v>0</v>
      </c>
    </row>
    <row r="23" spans="2:10" x14ac:dyDescent="0.35">
      <c r="B23" s="249" t="s">
        <v>408</v>
      </c>
      <c r="C23" s="259">
        <f>+D10</f>
        <v>0.5</v>
      </c>
    </row>
    <row r="24" spans="2:10" x14ac:dyDescent="0.35">
      <c r="B24" s="249" t="s">
        <v>423</v>
      </c>
      <c r="C24" s="259">
        <f>+D15</f>
        <v>0.5</v>
      </c>
    </row>
    <row r="25" spans="2:10" x14ac:dyDescent="0.35">
      <c r="B25" s="124" t="s">
        <v>255</v>
      </c>
      <c r="C25" s="259">
        <f>AVERAGE(C22:C24)</f>
        <v>0.33333333333333331</v>
      </c>
    </row>
    <row r="26" spans="2:10" x14ac:dyDescent="0.35">
      <c r="B26" s="258"/>
    </row>
    <row r="27" spans="2:10" x14ac:dyDescent="0.35">
      <c r="B27" s="258"/>
    </row>
    <row r="28" spans="2:10" x14ac:dyDescent="0.35">
      <c r="B28" s="258"/>
    </row>
    <row r="29" spans="2:10" x14ac:dyDescent="0.35">
      <c r="B29" s="258"/>
    </row>
    <row r="30" spans="2:10" x14ac:dyDescent="0.35">
      <c r="B30" s="258"/>
    </row>
    <row r="33" spans="2:2" x14ac:dyDescent="0.35">
      <c r="B33" s="260" t="s">
        <v>195</v>
      </c>
    </row>
    <row r="34" spans="2:2" x14ac:dyDescent="0.35">
      <c r="B34" s="260" t="s">
        <v>196</v>
      </c>
    </row>
    <row r="35" spans="2:2" x14ac:dyDescent="0.35">
      <c r="B35" s="260" t="s">
        <v>197</v>
      </c>
    </row>
  </sheetData>
  <mergeCells count="18">
    <mergeCell ref="D15:F15"/>
    <mergeCell ref="J10:J13"/>
    <mergeCell ref="J15:J17"/>
    <mergeCell ref="I4:I5"/>
    <mergeCell ref="G6:G8"/>
    <mergeCell ref="H6:H8"/>
    <mergeCell ref="I6:I8"/>
    <mergeCell ref="G15:H15"/>
    <mergeCell ref="H4:H5"/>
    <mergeCell ref="A1:J1"/>
    <mergeCell ref="C10:C11"/>
    <mergeCell ref="G10:G11"/>
    <mergeCell ref="H10:H11"/>
    <mergeCell ref="G4:G5"/>
    <mergeCell ref="C4:C5"/>
    <mergeCell ref="D4:F5"/>
    <mergeCell ref="J4:J8"/>
    <mergeCell ref="D10:F11"/>
  </mergeCells>
  <dataValidations count="1">
    <dataValidation type="list" allowBlank="1" showInputMessage="1" showErrorMessage="1" sqref="C26:C30 D12:F13 C6:F8 C9 D16:F17 D21:F30 C12:C20" xr:uid="{F42A5A50-3E61-4D52-8CB8-3C8AFB80C105}">
      <formula1>"X"</formula1>
    </dataValidation>
  </dataValidations>
  <pageMargins left="0.7" right="0.7" top="0.75" bottom="0.75" header="0.3" footer="0.3"/>
  <pageSetup scale="46" orientation="portrait" r:id="rId1"/>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4D328-9171-4B2A-8731-C9AA7F20B471}">
  <sheetPr codeName="Hoja8">
    <tabColor rgb="FFFF0000"/>
  </sheetPr>
  <dimension ref="F2:H12"/>
  <sheetViews>
    <sheetView zoomScale="85" zoomScaleNormal="85" workbookViewId="0">
      <selection activeCell="F3" sqref="F3:G12"/>
    </sheetView>
  </sheetViews>
  <sheetFormatPr baseColWidth="10" defaultColWidth="11.453125" defaultRowHeight="14.5" x14ac:dyDescent="0.35"/>
  <cols>
    <col min="2" max="2" width="53.1796875" customWidth="1"/>
    <col min="3" max="3" width="17.7265625" customWidth="1"/>
    <col min="6" max="6" width="46.453125" customWidth="1"/>
    <col min="7" max="7" width="21.81640625" customWidth="1"/>
  </cols>
  <sheetData>
    <row r="2" spans="6:8" ht="15" thickBot="1" x14ac:dyDescent="0.4"/>
    <row r="3" spans="6:8" ht="16" thickBot="1" x14ac:dyDescent="0.4">
      <c r="F3" s="282" t="s">
        <v>424</v>
      </c>
      <c r="G3" s="289" t="s">
        <v>425</v>
      </c>
    </row>
    <row r="4" spans="6:8" ht="23.25" customHeight="1" x14ac:dyDescent="0.35">
      <c r="F4" s="283" t="s">
        <v>142</v>
      </c>
      <c r="G4" s="284">
        <f>AVERAGE('4 CONTEXTO'!D4,'4 CONTEXTO'!D7,'4 CONTEXTO'!D13,'4 CONTEXTO'!D21)</f>
        <v>0.32500000000000001</v>
      </c>
    </row>
    <row r="5" spans="6:8" ht="21.75" customHeight="1" x14ac:dyDescent="0.35">
      <c r="F5" s="285" t="s">
        <v>199</v>
      </c>
      <c r="G5" s="286">
        <f>'5 LIDERAZGO'!C37</f>
        <v>0.35813492063492064</v>
      </c>
    </row>
    <row r="6" spans="6:8" ht="48" customHeight="1" x14ac:dyDescent="0.35">
      <c r="F6" s="285" t="s">
        <v>426</v>
      </c>
      <c r="G6" s="287">
        <f>'6 PLANIFICACIÓN'!C58</f>
        <v>0.29858104858104856</v>
      </c>
    </row>
    <row r="7" spans="6:8" ht="27.75" customHeight="1" x14ac:dyDescent="0.35">
      <c r="F7" s="285" t="s">
        <v>427</v>
      </c>
      <c r="G7" s="286">
        <f>'7 SOPORTE'!C63</f>
        <v>0.37</v>
      </c>
    </row>
    <row r="8" spans="6:8" ht="25.5" customHeight="1" x14ac:dyDescent="0.35">
      <c r="F8" s="285" t="s">
        <v>428</v>
      </c>
      <c r="G8" s="286">
        <f>'8 OPERACIÓN'!C25</f>
        <v>0.33333333333333331</v>
      </c>
    </row>
    <row r="9" spans="6:8" ht="24.75" customHeight="1" x14ac:dyDescent="0.35">
      <c r="F9" s="285" t="s">
        <v>429</v>
      </c>
      <c r="G9" s="286">
        <f>'9 EVALUACIÓN DESEMPEÑO'!C54</f>
        <v>8.3333333333333329E-2</v>
      </c>
    </row>
    <row r="10" spans="6:8" ht="23.25" customHeight="1" x14ac:dyDescent="0.35">
      <c r="F10" s="285" t="s">
        <v>430</v>
      </c>
      <c r="G10" s="288">
        <f>+'10 MEJORA'!C23</f>
        <v>0.5</v>
      </c>
    </row>
    <row r="11" spans="6:8" ht="30" customHeight="1" thickBot="1" x14ac:dyDescent="0.4">
      <c r="F11" s="285" t="s">
        <v>431</v>
      </c>
      <c r="G11" s="288">
        <f>'Anexo A'!D114</f>
        <v>0.18091358164887575</v>
      </c>
      <c r="H11" s="104">
        <f>AVERAGE(G4:G10)</f>
        <v>0.32405466226894797</v>
      </c>
    </row>
    <row r="12" spans="6:8" ht="16" thickBot="1" x14ac:dyDescent="0.4">
      <c r="F12" s="282" t="s">
        <v>432</v>
      </c>
      <c r="G12" s="302">
        <f>AVERAGE(G4:G11)</f>
        <v>0.30616202719143892</v>
      </c>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CCA05-0240-43C5-864F-DE8B40956FB7}">
  <sheetPr codeName="Hoja9"/>
  <dimension ref="A1:R54"/>
  <sheetViews>
    <sheetView zoomScale="93" zoomScaleNormal="55" zoomScaleSheetLayoutView="100" workbookViewId="0">
      <selection activeCell="B12" sqref="B12"/>
    </sheetView>
  </sheetViews>
  <sheetFormatPr baseColWidth="10" defaultColWidth="11.453125" defaultRowHeight="10.5" x14ac:dyDescent="0.35"/>
  <cols>
    <col min="1" max="1" width="3.54296875" style="60" customWidth="1"/>
    <col min="2" max="2" width="68.26953125" style="233" customWidth="1"/>
    <col min="3" max="6" width="11.453125" style="234"/>
    <col min="7" max="7" width="46.54296875" style="60" customWidth="1"/>
    <col min="8" max="8" width="38" style="60" customWidth="1"/>
    <col min="9" max="9" width="31.26953125" style="60" customWidth="1"/>
    <col min="10" max="10" width="34.1796875" style="60" customWidth="1"/>
    <col min="11" max="11" width="25.26953125" style="60" customWidth="1"/>
    <col min="12" max="16" width="11.453125" style="60"/>
    <col min="17" max="17" width="55.26953125" style="60" customWidth="1"/>
    <col min="18" max="16384" width="11.453125" style="60"/>
  </cols>
  <sheetData>
    <row r="1" spans="1:18" ht="15.65" customHeight="1" x14ac:dyDescent="0.35">
      <c r="A1" s="490" t="s">
        <v>198</v>
      </c>
      <c r="B1" s="491"/>
      <c r="C1" s="491"/>
      <c r="D1" s="491"/>
      <c r="E1" s="491"/>
      <c r="F1" s="491"/>
      <c r="G1" s="491"/>
      <c r="H1" s="491"/>
      <c r="I1" s="491"/>
      <c r="J1" s="491"/>
    </row>
    <row r="2" spans="1:18" ht="11" thickBot="1" x14ac:dyDescent="0.4">
      <c r="Q2" s="235"/>
      <c r="R2" s="235"/>
    </row>
    <row r="3" spans="1:18" ht="22.5" customHeight="1" x14ac:dyDescent="0.35">
      <c r="B3" s="236" t="s">
        <v>429</v>
      </c>
      <c r="C3" s="220" t="s">
        <v>143</v>
      </c>
      <c r="D3" s="220" t="s">
        <v>144</v>
      </c>
      <c r="E3" s="220" t="s">
        <v>145</v>
      </c>
      <c r="F3" s="220" t="s">
        <v>146</v>
      </c>
      <c r="G3" s="220" t="s">
        <v>147</v>
      </c>
      <c r="H3" s="220" t="s">
        <v>148</v>
      </c>
      <c r="I3" s="194" t="s">
        <v>149</v>
      </c>
      <c r="J3" s="333" t="s">
        <v>150</v>
      </c>
      <c r="Q3" s="237"/>
      <c r="R3" s="238"/>
    </row>
    <row r="4" spans="1:18" ht="29.5" customHeight="1" x14ac:dyDescent="0.35">
      <c r="B4" s="239" t="s">
        <v>433</v>
      </c>
      <c r="C4" s="326"/>
      <c r="D4" s="431">
        <f>((D13*1)+(E13*0.5)+(F13*0))/8</f>
        <v>0</v>
      </c>
      <c r="E4" s="431"/>
      <c r="F4" s="431"/>
      <c r="G4" s="123"/>
      <c r="H4" s="123"/>
      <c r="I4" s="123"/>
      <c r="J4" s="419" t="s">
        <v>434</v>
      </c>
      <c r="Q4" s="240"/>
      <c r="R4" s="238"/>
    </row>
    <row r="5" spans="1:18" ht="59.5" customHeight="1" x14ac:dyDescent="0.35">
      <c r="B5" s="243" t="s">
        <v>435</v>
      </c>
      <c r="C5" s="198"/>
      <c r="D5" s="198"/>
      <c r="E5" s="198"/>
      <c r="F5" s="198" t="s">
        <v>154</v>
      </c>
      <c r="G5" s="487" t="s">
        <v>436</v>
      </c>
      <c r="H5" s="487" t="s">
        <v>437</v>
      </c>
      <c r="I5" s="487" t="s">
        <v>438</v>
      </c>
      <c r="J5" s="420"/>
      <c r="Q5" s="242"/>
      <c r="R5" s="238"/>
    </row>
    <row r="6" spans="1:18" ht="40" x14ac:dyDescent="0.35">
      <c r="B6" s="243" t="s">
        <v>439</v>
      </c>
      <c r="C6" s="198"/>
      <c r="D6" s="198"/>
      <c r="E6" s="198"/>
      <c r="F6" s="198" t="s">
        <v>154</v>
      </c>
      <c r="G6" s="488"/>
      <c r="H6" s="488"/>
      <c r="I6" s="488"/>
      <c r="J6" s="420"/>
      <c r="Q6" s="242"/>
      <c r="R6" s="238"/>
    </row>
    <row r="7" spans="1:18" ht="34.5" customHeight="1" x14ac:dyDescent="0.35">
      <c r="B7" s="241" t="s">
        <v>440</v>
      </c>
      <c r="C7" s="198"/>
      <c r="D7" s="198"/>
      <c r="E7" s="198"/>
      <c r="F7" s="198" t="s">
        <v>154</v>
      </c>
      <c r="G7" s="488"/>
      <c r="H7" s="488"/>
      <c r="I7" s="488"/>
      <c r="J7" s="420"/>
      <c r="Q7" s="244"/>
      <c r="R7" s="238"/>
    </row>
    <row r="8" spans="1:18" x14ac:dyDescent="0.35">
      <c r="B8" s="241" t="s">
        <v>441</v>
      </c>
      <c r="C8" s="198"/>
      <c r="D8" s="198"/>
      <c r="E8" s="198"/>
      <c r="F8" s="198" t="s">
        <v>154</v>
      </c>
      <c r="G8" s="488"/>
      <c r="H8" s="488"/>
      <c r="I8" s="488"/>
      <c r="J8" s="420"/>
      <c r="Q8" s="235"/>
      <c r="R8" s="235"/>
    </row>
    <row r="9" spans="1:18" x14ac:dyDescent="0.35">
      <c r="B9" s="241" t="s">
        <v>442</v>
      </c>
      <c r="C9" s="198"/>
      <c r="D9" s="198"/>
      <c r="E9" s="198"/>
      <c r="F9" s="198" t="s">
        <v>154</v>
      </c>
      <c r="G9" s="488"/>
      <c r="H9" s="488"/>
      <c r="I9" s="488"/>
      <c r="J9" s="420"/>
      <c r="Q9" s="237"/>
      <c r="R9" s="235"/>
    </row>
    <row r="10" spans="1:18" ht="20.25" customHeight="1" x14ac:dyDescent="0.35">
      <c r="B10" s="245" t="s">
        <v>443</v>
      </c>
      <c r="C10" s="198"/>
      <c r="D10" s="198"/>
      <c r="E10" s="198"/>
      <c r="F10" s="198" t="s">
        <v>154</v>
      </c>
      <c r="G10" s="488"/>
      <c r="H10" s="488"/>
      <c r="I10" s="488"/>
      <c r="J10" s="420"/>
      <c r="Q10" s="235"/>
      <c r="R10" s="235"/>
    </row>
    <row r="11" spans="1:18" ht="18" customHeight="1" x14ac:dyDescent="0.35">
      <c r="B11" s="298" t="s">
        <v>444</v>
      </c>
      <c r="C11" s="198"/>
      <c r="D11" s="198"/>
      <c r="E11" s="198"/>
      <c r="F11" s="198" t="s">
        <v>154</v>
      </c>
      <c r="G11" s="488"/>
      <c r="H11" s="488"/>
      <c r="I11" s="488"/>
      <c r="J11" s="420"/>
    </row>
    <row r="12" spans="1:18" ht="34.5" customHeight="1" x14ac:dyDescent="0.35">
      <c r="B12" s="298" t="s">
        <v>445</v>
      </c>
      <c r="C12" s="198"/>
      <c r="D12" s="198"/>
      <c r="E12" s="198"/>
      <c r="F12" s="198" t="s">
        <v>154</v>
      </c>
      <c r="G12" s="489"/>
      <c r="H12" s="489"/>
      <c r="I12" s="489"/>
      <c r="J12" s="420"/>
    </row>
    <row r="13" spans="1:18" x14ac:dyDescent="0.35">
      <c r="B13" s="245"/>
      <c r="C13" s="198"/>
      <c r="D13" s="197">
        <f>COUNTIF(D5:D12,"X")</f>
        <v>0</v>
      </c>
      <c r="E13" s="197">
        <f>COUNTIF(E5:E12,"X")</f>
        <v>0</v>
      </c>
      <c r="F13" s="197">
        <f>COUNTIF(F5:F12,"X")</f>
        <v>8</v>
      </c>
      <c r="G13" s="328"/>
      <c r="H13" s="67"/>
      <c r="I13" s="67"/>
      <c r="J13" s="421"/>
    </row>
    <row r="14" spans="1:18" ht="19" customHeight="1" x14ac:dyDescent="0.35">
      <c r="B14" s="257" t="s">
        <v>446</v>
      </c>
      <c r="C14" s="222"/>
      <c r="D14" s="509">
        <f>AVERAGE(D15,D20)</f>
        <v>0.25</v>
      </c>
      <c r="E14" s="510"/>
      <c r="F14" s="511"/>
      <c r="G14" s="295"/>
      <c r="H14" s="296"/>
      <c r="I14" s="296"/>
      <c r="J14" s="419" t="s">
        <v>447</v>
      </c>
    </row>
    <row r="15" spans="1:18" ht="19.5" customHeight="1" x14ac:dyDescent="0.35">
      <c r="B15" s="257" t="s">
        <v>448</v>
      </c>
      <c r="C15" s="222"/>
      <c r="D15" s="509">
        <f>((D19*1)+(E19*0.5)+(F19*0))/3</f>
        <v>0</v>
      </c>
      <c r="E15" s="510"/>
      <c r="F15" s="511"/>
      <c r="G15" s="295"/>
      <c r="H15" s="296"/>
      <c r="I15" s="296"/>
      <c r="J15" s="420"/>
    </row>
    <row r="16" spans="1:18" ht="20" x14ac:dyDescent="0.35">
      <c r="B16" s="241" t="s">
        <v>449</v>
      </c>
      <c r="C16" s="197"/>
      <c r="D16" s="197"/>
      <c r="E16" s="197"/>
      <c r="F16" s="197" t="s">
        <v>154</v>
      </c>
      <c r="G16" s="419" t="s">
        <v>450</v>
      </c>
      <c r="H16" s="419" t="s">
        <v>451</v>
      </c>
      <c r="I16" s="419" t="s">
        <v>452</v>
      </c>
      <c r="J16" s="420"/>
    </row>
    <row r="17" spans="2:12" ht="78" customHeight="1" x14ac:dyDescent="0.35">
      <c r="B17" s="243" t="s">
        <v>453</v>
      </c>
      <c r="C17" s="197"/>
      <c r="D17" s="197"/>
      <c r="E17" s="197"/>
      <c r="F17" s="197" t="s">
        <v>154</v>
      </c>
      <c r="G17" s="420"/>
      <c r="H17" s="420"/>
      <c r="I17" s="420"/>
      <c r="J17" s="420"/>
    </row>
    <row r="18" spans="2:12" ht="78" customHeight="1" x14ac:dyDescent="0.35">
      <c r="B18" s="243" t="s">
        <v>454</v>
      </c>
      <c r="C18" s="197"/>
      <c r="D18" s="197"/>
      <c r="E18" s="197"/>
      <c r="F18" s="197" t="s">
        <v>154</v>
      </c>
      <c r="G18" s="421"/>
      <c r="H18" s="421"/>
      <c r="I18" s="421"/>
      <c r="J18" s="420"/>
    </row>
    <row r="19" spans="2:12" ht="23.15" customHeight="1" x14ac:dyDescent="0.35">
      <c r="B19" s="243"/>
      <c r="C19" s="197"/>
      <c r="D19" s="197">
        <f>COUNTIF(D16:D18,"X")</f>
        <v>0</v>
      </c>
      <c r="E19" s="197">
        <f>COUNTIF(E16:E18,"X")</f>
        <v>0</v>
      </c>
      <c r="F19" s="197">
        <f>COUNTIF(F16:F18,"X")</f>
        <v>3</v>
      </c>
      <c r="G19" s="25"/>
      <c r="H19" s="25"/>
      <c r="I19" s="25"/>
      <c r="J19" s="420"/>
    </row>
    <row r="20" spans="2:12" ht="23.15" customHeight="1" x14ac:dyDescent="0.35">
      <c r="B20" s="257" t="s">
        <v>455</v>
      </c>
      <c r="C20" s="222"/>
      <c r="D20" s="509">
        <f>((D26*1)+(E26*0.5)+(F26*0))/5</f>
        <v>0.5</v>
      </c>
      <c r="E20" s="510"/>
      <c r="F20" s="511"/>
      <c r="G20" s="295"/>
      <c r="H20" s="296"/>
      <c r="I20" s="296"/>
      <c r="J20" s="420"/>
    </row>
    <row r="21" spans="2:12" ht="60" x14ac:dyDescent="0.35">
      <c r="B21" s="246" t="s">
        <v>456</v>
      </c>
      <c r="C21" s="197"/>
      <c r="D21" s="197"/>
      <c r="E21" s="197" t="s">
        <v>154</v>
      </c>
      <c r="F21" s="197"/>
      <c r="G21" s="432" t="s">
        <v>457</v>
      </c>
      <c r="H21" s="512" t="s">
        <v>458</v>
      </c>
      <c r="I21" s="432" t="s">
        <v>459</v>
      </c>
      <c r="J21" s="420"/>
    </row>
    <row r="22" spans="2:12" ht="20" x14ac:dyDescent="0.35">
      <c r="B22" s="246" t="s">
        <v>460</v>
      </c>
      <c r="C22" s="197"/>
      <c r="D22" s="197"/>
      <c r="E22" s="197" t="s">
        <v>154</v>
      </c>
      <c r="F22" s="197"/>
      <c r="G22" s="432"/>
      <c r="H22" s="512"/>
      <c r="I22" s="432"/>
      <c r="J22" s="420"/>
    </row>
    <row r="23" spans="2:12" ht="20" x14ac:dyDescent="0.35">
      <c r="B23" s="241" t="s">
        <v>461</v>
      </c>
      <c r="C23" s="197"/>
      <c r="D23" s="197"/>
      <c r="E23" s="197" t="s">
        <v>154</v>
      </c>
      <c r="F23" s="197"/>
      <c r="G23" s="432"/>
      <c r="H23" s="512"/>
      <c r="I23" s="432"/>
      <c r="J23" s="420"/>
      <c r="K23" s="248"/>
      <c r="L23" s="248"/>
    </row>
    <row r="24" spans="2:12" ht="18" customHeight="1" x14ac:dyDescent="0.35">
      <c r="B24" s="241" t="s">
        <v>462</v>
      </c>
      <c r="C24" s="197"/>
      <c r="D24" s="197"/>
      <c r="E24" s="197" t="s">
        <v>154</v>
      </c>
      <c r="F24" s="197"/>
      <c r="G24" s="432"/>
      <c r="H24" s="512"/>
      <c r="I24" s="432"/>
      <c r="J24" s="420"/>
      <c r="K24" s="248"/>
      <c r="L24" s="248"/>
    </row>
    <row r="25" spans="2:12" ht="41.15" customHeight="1" x14ac:dyDescent="0.35">
      <c r="B25" s="243" t="s">
        <v>463</v>
      </c>
      <c r="C25" s="197"/>
      <c r="D25" s="197"/>
      <c r="E25" s="197" t="s">
        <v>154</v>
      </c>
      <c r="F25" s="197"/>
      <c r="G25" s="432"/>
      <c r="H25" s="512"/>
      <c r="I25" s="432"/>
      <c r="J25" s="420"/>
      <c r="K25" s="248"/>
      <c r="L25" s="248"/>
    </row>
    <row r="26" spans="2:12" ht="22" customHeight="1" x14ac:dyDescent="0.35">
      <c r="B26" s="243" t="s">
        <v>464</v>
      </c>
      <c r="C26" s="330"/>
      <c r="D26" s="197">
        <f>COUNTIF(D21:D25,"X")</f>
        <v>0</v>
      </c>
      <c r="E26" s="197">
        <f>COUNTIF(E21:E25,"X")</f>
        <v>5</v>
      </c>
      <c r="F26" s="197">
        <f>COUNTIF(F21:F25,"X")</f>
        <v>0</v>
      </c>
      <c r="G26" s="24"/>
      <c r="H26" s="24"/>
      <c r="I26" s="24"/>
      <c r="J26" s="421"/>
    </row>
    <row r="27" spans="2:12" ht="30" customHeight="1" x14ac:dyDescent="0.35">
      <c r="B27" s="239" t="s">
        <v>465</v>
      </c>
      <c r="C27" s="330"/>
      <c r="D27" s="506">
        <f>AVERAGE(D28,D31,D44)</f>
        <v>0</v>
      </c>
      <c r="E27" s="506"/>
      <c r="F27" s="506"/>
      <c r="G27" s="127"/>
      <c r="H27" s="127"/>
      <c r="I27" s="127"/>
      <c r="J27" s="419" t="s">
        <v>466</v>
      </c>
    </row>
    <row r="28" spans="2:12" ht="34.5" customHeight="1" x14ac:dyDescent="0.35">
      <c r="B28" s="257" t="s">
        <v>467</v>
      </c>
      <c r="C28" s="330"/>
      <c r="D28" s="506">
        <f>((D30*1)+(E30*0.5)+(F30*0))/1</f>
        <v>0</v>
      </c>
      <c r="E28" s="506"/>
      <c r="F28" s="506"/>
      <c r="G28" s="127"/>
      <c r="H28" s="127"/>
      <c r="I28" s="127"/>
      <c r="J28" s="420"/>
    </row>
    <row r="29" spans="2:12" ht="78.650000000000006" customHeight="1" x14ac:dyDescent="0.35">
      <c r="B29" s="241" t="s">
        <v>468</v>
      </c>
      <c r="C29" s="198"/>
      <c r="D29" s="198"/>
      <c r="E29" s="198"/>
      <c r="F29" s="198" t="s">
        <v>154</v>
      </c>
      <c r="G29" s="63" t="s">
        <v>469</v>
      </c>
      <c r="H29" s="63" t="s">
        <v>470</v>
      </c>
      <c r="I29" s="63" t="s">
        <v>471</v>
      </c>
      <c r="J29" s="507"/>
    </row>
    <row r="30" spans="2:12" ht="21.65" customHeight="1" x14ac:dyDescent="0.35">
      <c r="B30" s="241"/>
      <c r="C30" s="198"/>
      <c r="D30" s="197">
        <f>COUNTIF(D29:D29,"X")</f>
        <v>0</v>
      </c>
      <c r="E30" s="197">
        <f>COUNTIF(E29:E29,"X")</f>
        <v>0</v>
      </c>
      <c r="F30" s="197">
        <f>COUNTIF(F29:F29,"X")</f>
        <v>1</v>
      </c>
      <c r="G30" s="63"/>
      <c r="H30" s="63"/>
      <c r="I30" s="63"/>
      <c r="J30" s="507"/>
    </row>
    <row r="31" spans="2:12" ht="39.65" customHeight="1" x14ac:dyDescent="0.35">
      <c r="B31" s="257" t="s">
        <v>472</v>
      </c>
      <c r="C31" s="222"/>
      <c r="D31" s="506">
        <f>((D43*1)+(E43*0.5)+(F43*0))/11</f>
        <v>0</v>
      </c>
      <c r="E31" s="506"/>
      <c r="F31" s="506"/>
      <c r="G31" s="295"/>
      <c r="H31" s="296"/>
      <c r="I31" s="296"/>
      <c r="J31" s="507"/>
    </row>
    <row r="32" spans="2:12" ht="53.15" customHeight="1" x14ac:dyDescent="0.35">
      <c r="B32" s="243" t="s">
        <v>473</v>
      </c>
      <c r="C32" s="198"/>
      <c r="D32" s="198"/>
      <c r="E32" s="198"/>
      <c r="F32" s="198" t="s">
        <v>154</v>
      </c>
      <c r="G32" s="487" t="s">
        <v>474</v>
      </c>
      <c r="H32" s="487" t="s">
        <v>475</v>
      </c>
      <c r="I32" s="487" t="s">
        <v>474</v>
      </c>
      <c r="J32" s="507"/>
    </row>
    <row r="33" spans="2:10" ht="20" x14ac:dyDescent="0.35">
      <c r="B33" s="241" t="s">
        <v>476</v>
      </c>
      <c r="C33" s="198"/>
      <c r="D33" s="198"/>
      <c r="E33" s="198"/>
      <c r="F33" s="198" t="s">
        <v>154</v>
      </c>
      <c r="G33" s="488"/>
      <c r="H33" s="488"/>
      <c r="I33" s="488"/>
      <c r="J33" s="507"/>
    </row>
    <row r="34" spans="2:10" ht="20" x14ac:dyDescent="0.35">
      <c r="B34" s="241" t="s">
        <v>477</v>
      </c>
      <c r="C34" s="198"/>
      <c r="D34" s="198"/>
      <c r="E34" s="198"/>
      <c r="F34" s="198" t="s">
        <v>154</v>
      </c>
      <c r="G34" s="488"/>
      <c r="H34" s="488"/>
      <c r="I34" s="488"/>
      <c r="J34" s="507"/>
    </row>
    <row r="35" spans="2:10" ht="20" x14ac:dyDescent="0.35">
      <c r="B35" s="246" t="s">
        <v>478</v>
      </c>
      <c r="C35" s="198"/>
      <c r="D35" s="198"/>
      <c r="E35" s="198"/>
      <c r="F35" s="198" t="s">
        <v>154</v>
      </c>
      <c r="G35" s="488"/>
      <c r="H35" s="488"/>
      <c r="I35" s="488"/>
      <c r="J35" s="507"/>
    </row>
    <row r="36" spans="2:10" x14ac:dyDescent="0.35">
      <c r="B36" s="246" t="s">
        <v>479</v>
      </c>
      <c r="C36" s="198"/>
      <c r="D36" s="198"/>
      <c r="E36" s="198"/>
      <c r="F36" s="198" t="s">
        <v>154</v>
      </c>
      <c r="G36" s="488"/>
      <c r="H36" s="488"/>
      <c r="I36" s="488"/>
      <c r="J36" s="507"/>
    </row>
    <row r="37" spans="2:10" x14ac:dyDescent="0.35">
      <c r="B37" s="247" t="s">
        <v>480</v>
      </c>
      <c r="C37" s="198"/>
      <c r="D37" s="198"/>
      <c r="E37" s="198"/>
      <c r="F37" s="198" t="s">
        <v>154</v>
      </c>
      <c r="G37" s="488"/>
      <c r="H37" s="488"/>
      <c r="I37" s="488"/>
      <c r="J37" s="507"/>
    </row>
    <row r="38" spans="2:10" x14ac:dyDescent="0.35">
      <c r="B38" s="247" t="s">
        <v>481</v>
      </c>
      <c r="C38" s="198"/>
      <c r="D38" s="198"/>
      <c r="E38" s="198"/>
      <c r="F38" s="198" t="s">
        <v>154</v>
      </c>
      <c r="G38" s="488"/>
      <c r="H38" s="488"/>
      <c r="I38" s="488"/>
      <c r="J38" s="507"/>
    </row>
    <row r="39" spans="2:10" x14ac:dyDescent="0.35">
      <c r="B39" s="247" t="s">
        <v>482</v>
      </c>
      <c r="C39" s="198"/>
      <c r="D39" s="198"/>
      <c r="E39" s="198"/>
      <c r="F39" s="198" t="s">
        <v>154</v>
      </c>
      <c r="G39" s="488"/>
      <c r="H39" s="488"/>
      <c r="I39" s="488"/>
      <c r="J39" s="507"/>
    </row>
    <row r="40" spans="2:10" x14ac:dyDescent="0.35">
      <c r="B40" s="241" t="s">
        <v>483</v>
      </c>
      <c r="C40" s="198"/>
      <c r="D40" s="198"/>
      <c r="E40" s="198"/>
      <c r="F40" s="198" t="s">
        <v>154</v>
      </c>
      <c r="G40" s="488"/>
      <c r="H40" s="488"/>
      <c r="I40" s="488"/>
      <c r="J40" s="507"/>
    </row>
    <row r="41" spans="2:10" x14ac:dyDescent="0.35">
      <c r="B41" s="241" t="s">
        <v>484</v>
      </c>
      <c r="C41" s="198"/>
      <c r="D41" s="198"/>
      <c r="E41" s="198"/>
      <c r="F41" s="198" t="s">
        <v>154</v>
      </c>
      <c r="G41" s="488"/>
      <c r="H41" s="488"/>
      <c r="I41" s="488"/>
      <c r="J41" s="507"/>
    </row>
    <row r="42" spans="2:10" ht="14.5" customHeight="1" x14ac:dyDescent="0.35">
      <c r="B42" s="247" t="s">
        <v>485</v>
      </c>
      <c r="C42" s="198"/>
      <c r="D42" s="198"/>
      <c r="E42" s="198"/>
      <c r="F42" s="198" t="s">
        <v>154</v>
      </c>
      <c r="G42" s="488"/>
      <c r="H42" s="488"/>
      <c r="I42" s="488"/>
      <c r="J42" s="507"/>
    </row>
    <row r="43" spans="2:10" ht="14.5" customHeight="1" x14ac:dyDescent="0.35">
      <c r="B43" s="247"/>
      <c r="C43" s="198"/>
      <c r="D43" s="197">
        <f>COUNTIF(D32:D42,"X")</f>
        <v>0</v>
      </c>
      <c r="E43" s="197">
        <f>COUNTIF(E32:E42,"X")</f>
        <v>0</v>
      </c>
      <c r="F43" s="197">
        <f>COUNTIF(F32:F42,"X")</f>
        <v>11</v>
      </c>
      <c r="G43" s="489"/>
      <c r="H43" s="489"/>
      <c r="I43" s="489"/>
      <c r="J43" s="507"/>
    </row>
    <row r="44" spans="2:10" ht="25" customHeight="1" x14ac:dyDescent="0.35">
      <c r="B44" s="257" t="s">
        <v>486</v>
      </c>
      <c r="C44" s="222"/>
      <c r="D44" s="506">
        <f>((D47*1)+(E47*0.5)+(F47*0))/2</f>
        <v>0</v>
      </c>
      <c r="E44" s="506"/>
      <c r="F44" s="506"/>
      <c r="G44" s="295"/>
      <c r="H44" s="296"/>
      <c r="I44" s="296"/>
      <c r="J44" s="507"/>
    </row>
    <row r="45" spans="2:10" ht="37.5" customHeight="1" x14ac:dyDescent="0.35">
      <c r="B45" s="247" t="s">
        <v>487</v>
      </c>
      <c r="C45" s="198"/>
      <c r="D45" s="198"/>
      <c r="E45" s="198"/>
      <c r="F45" s="198" t="s">
        <v>154</v>
      </c>
      <c r="G45" s="487"/>
      <c r="H45" s="487" t="s">
        <v>488</v>
      </c>
      <c r="I45" s="487"/>
      <c r="J45" s="507"/>
    </row>
    <row r="46" spans="2:10" ht="35.15" customHeight="1" x14ac:dyDescent="0.35">
      <c r="B46" s="247" t="s">
        <v>489</v>
      </c>
      <c r="C46" s="198"/>
      <c r="D46" s="198"/>
      <c r="E46" s="198"/>
      <c r="F46" s="198" t="s">
        <v>154</v>
      </c>
      <c r="G46" s="489"/>
      <c r="H46" s="489"/>
      <c r="I46" s="489"/>
      <c r="J46" s="508"/>
    </row>
    <row r="47" spans="2:10" x14ac:dyDescent="0.35">
      <c r="B47" s="247"/>
      <c r="C47" s="197"/>
      <c r="D47" s="197">
        <f>COUNTIF(D45:D46,"X")</f>
        <v>0</v>
      </c>
      <c r="E47" s="197">
        <f>COUNTIF(E45:E46,"X")</f>
        <v>0</v>
      </c>
      <c r="F47" s="197">
        <f>COUNTIF(F45:F46,"X")</f>
        <v>2</v>
      </c>
      <c r="G47" s="24"/>
      <c r="H47" s="24"/>
      <c r="I47" s="24"/>
      <c r="J47" s="24"/>
    </row>
    <row r="50" spans="2:3" x14ac:dyDescent="0.35">
      <c r="B50" s="126" t="s">
        <v>253</v>
      </c>
      <c r="C50" s="126" t="s">
        <v>254</v>
      </c>
    </row>
    <row r="51" spans="2:3" x14ac:dyDescent="0.35">
      <c r="B51" s="249" t="str">
        <f>+B4</f>
        <v>9.1 MONITOREO, MEDICIÓN, ANALISIS Y EVALUACIÓN</v>
      </c>
      <c r="C51" s="250">
        <f>+D4</f>
        <v>0</v>
      </c>
    </row>
    <row r="52" spans="2:3" x14ac:dyDescent="0.35">
      <c r="B52" s="249" t="str">
        <f>+B14</f>
        <v>9.2 AUDITORÍA INTERNA</v>
      </c>
      <c r="C52" s="250">
        <f>+D14</f>
        <v>0.25</v>
      </c>
    </row>
    <row r="53" spans="2:3" x14ac:dyDescent="0.35">
      <c r="B53" s="249" t="str">
        <f>+B27</f>
        <v>9.3 REVISIÓN POR LA DIRECCIÓN</v>
      </c>
      <c r="C53" s="250">
        <f>+D27</f>
        <v>0</v>
      </c>
    </row>
    <row r="54" spans="2:3" x14ac:dyDescent="0.35">
      <c r="B54" s="124" t="s">
        <v>255</v>
      </c>
      <c r="C54" s="250">
        <f>AVERAGE(C51:C53)</f>
        <v>8.3333333333333329E-2</v>
      </c>
    </row>
  </sheetData>
  <mergeCells count="27">
    <mergeCell ref="D44:F44"/>
    <mergeCell ref="D28:F28"/>
    <mergeCell ref="I16:I18"/>
    <mergeCell ref="H45:H46"/>
    <mergeCell ref="G32:G43"/>
    <mergeCell ref="I32:I43"/>
    <mergeCell ref="G45:G46"/>
    <mergeCell ref="I45:I46"/>
    <mergeCell ref="I21:I25"/>
    <mergeCell ref="H32:H43"/>
    <mergeCell ref="H21:H25"/>
    <mergeCell ref="A1:J1"/>
    <mergeCell ref="D27:F27"/>
    <mergeCell ref="H5:H12"/>
    <mergeCell ref="I5:I12"/>
    <mergeCell ref="H16:H18"/>
    <mergeCell ref="D4:F4"/>
    <mergeCell ref="J4:J13"/>
    <mergeCell ref="J14:J26"/>
    <mergeCell ref="J27:J46"/>
    <mergeCell ref="G21:G25"/>
    <mergeCell ref="G5:G12"/>
    <mergeCell ref="D14:F14"/>
    <mergeCell ref="D15:F15"/>
    <mergeCell ref="D20:F20"/>
    <mergeCell ref="D31:F31"/>
    <mergeCell ref="G16:G18"/>
  </mergeCells>
  <dataValidations count="1">
    <dataValidation type="list" allowBlank="1" showInputMessage="1" showErrorMessage="1" sqref="C5:F10 F11:F12 C17:C23 C25 C47 D17:F18 D29:F29 C45:F46 C29:C44 D32:F42 E21:F25" xr:uid="{7780501A-9C58-4457-AB09-FD5A5C5DBA93}">
      <formula1>"X"</formula1>
    </dataValidation>
  </dataValidations>
  <pageMargins left="0.7" right="0.7" top="0.75" bottom="0.75" header="0.3" footer="0.3"/>
  <pageSetup scale="50" orientation="portrait" r:id="rId1"/>
  <colBreaks count="1" manualBreakCount="1">
    <brk id="1" min="1" max="64" man="1"/>
  </colBreak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169D2-0C6B-4538-9C82-9A88302F4699}">
  <sheetPr codeName="Hoja10"/>
  <dimension ref="A1:P23"/>
  <sheetViews>
    <sheetView zoomScale="82" zoomScaleNormal="82" zoomScaleSheetLayoutView="90" workbookViewId="0">
      <selection activeCell="I9" sqref="I9:I17"/>
    </sheetView>
  </sheetViews>
  <sheetFormatPr baseColWidth="10" defaultColWidth="11.453125" defaultRowHeight="10.5" x14ac:dyDescent="0.35"/>
  <cols>
    <col min="1" max="1" width="3.7265625" style="60" customWidth="1"/>
    <col min="2" max="2" width="72.26953125" style="60" customWidth="1"/>
    <col min="3" max="3" width="11.453125" style="60"/>
    <col min="4" max="4" width="12" style="60" bestFit="1" customWidth="1"/>
    <col min="5" max="6" width="11.453125" style="60"/>
    <col min="7" max="7" width="62.81640625" style="60" customWidth="1"/>
    <col min="8" max="9" width="31.7265625" style="60" customWidth="1"/>
    <col min="10" max="10" width="41.54296875" style="60" customWidth="1"/>
    <col min="11" max="11" width="11.453125" style="60"/>
    <col min="12" max="12" width="36.7265625" style="60" customWidth="1"/>
    <col min="13" max="13" width="13.26953125" style="60" customWidth="1"/>
    <col min="14" max="14" width="11.453125" style="60"/>
    <col min="15" max="15" width="46" style="60" customWidth="1"/>
    <col min="16" max="16384" width="11.453125" style="60"/>
  </cols>
  <sheetData>
    <row r="1" spans="1:16" ht="15.65" customHeight="1" x14ac:dyDescent="0.35">
      <c r="A1" s="513" t="s">
        <v>198</v>
      </c>
      <c r="B1" s="514"/>
      <c r="C1" s="514"/>
      <c r="D1" s="514"/>
      <c r="E1" s="514"/>
      <c r="F1" s="514"/>
      <c r="G1" s="514"/>
      <c r="H1" s="514"/>
      <c r="I1" s="514"/>
      <c r="J1" s="514"/>
    </row>
    <row r="2" spans="1:16" ht="11" thickBot="1" x14ac:dyDescent="0.4"/>
    <row r="3" spans="1:16" x14ac:dyDescent="0.35">
      <c r="B3" s="220" t="s">
        <v>430</v>
      </c>
      <c r="C3" s="220" t="s">
        <v>143</v>
      </c>
      <c r="D3" s="220" t="s">
        <v>144</v>
      </c>
      <c r="E3" s="220" t="s">
        <v>145</v>
      </c>
      <c r="F3" s="220" t="s">
        <v>146</v>
      </c>
      <c r="G3" s="220" t="s">
        <v>147</v>
      </c>
      <c r="H3" s="220" t="s">
        <v>148</v>
      </c>
      <c r="I3" s="194" t="s">
        <v>490</v>
      </c>
      <c r="J3" s="333" t="s">
        <v>150</v>
      </c>
    </row>
    <row r="4" spans="1:16" ht="58.5" customHeight="1" thickBot="1" x14ac:dyDescent="0.4">
      <c r="B4" s="221" t="s">
        <v>491</v>
      </c>
      <c r="C4" s="222"/>
      <c r="D4" s="431">
        <f>((D6*1)+(E6*0.5)+(F6*0))/1</f>
        <v>0</v>
      </c>
      <c r="E4" s="431"/>
      <c r="F4" s="431"/>
      <c r="G4" s="222"/>
      <c r="H4" s="222"/>
      <c r="I4" s="222"/>
      <c r="J4" s="419" t="s">
        <v>492</v>
      </c>
    </row>
    <row r="5" spans="1:16" ht="50.15" customHeight="1" x14ac:dyDescent="0.35">
      <c r="B5" s="225" t="s">
        <v>493</v>
      </c>
      <c r="C5" s="198"/>
      <c r="D5" s="198"/>
      <c r="E5" s="198"/>
      <c r="F5" s="198" t="s">
        <v>154</v>
      </c>
      <c r="G5" s="63" t="s">
        <v>494</v>
      </c>
      <c r="H5" s="63" t="s">
        <v>495</v>
      </c>
      <c r="I5" s="63" t="s">
        <v>496</v>
      </c>
      <c r="J5" s="508"/>
      <c r="O5" s="223" t="s">
        <v>497</v>
      </c>
      <c r="P5" s="224">
        <f>D7</f>
        <v>1</v>
      </c>
    </row>
    <row r="6" spans="1:16" ht="21" customHeight="1" x14ac:dyDescent="0.35">
      <c r="B6" s="231"/>
      <c r="C6" s="198"/>
      <c r="D6" s="197">
        <f>COUNTIF(D5:D5,"X")</f>
        <v>0</v>
      </c>
      <c r="E6" s="197">
        <f>COUNTIF(E5:E5,"X")</f>
        <v>0</v>
      </c>
      <c r="F6" s="197">
        <f>COUNTIF(F5:F5,"X")</f>
        <v>1</v>
      </c>
      <c r="G6" s="67"/>
      <c r="H6" s="24"/>
      <c r="I6" s="24"/>
      <c r="J6" s="24"/>
      <c r="O6" s="226" t="s">
        <v>498</v>
      </c>
      <c r="P6" s="227">
        <f>D14</f>
        <v>0</v>
      </c>
    </row>
    <row r="7" spans="1:16" ht="66" customHeight="1" thickBot="1" x14ac:dyDescent="0.4">
      <c r="B7" s="221" t="s">
        <v>499</v>
      </c>
      <c r="C7" s="439"/>
      <c r="D7" s="433">
        <f>((D17*1)+(E17*0.5)+(F17*0))/8</f>
        <v>1</v>
      </c>
      <c r="E7" s="434"/>
      <c r="F7" s="435"/>
      <c r="G7" s="428"/>
      <c r="H7" s="428"/>
      <c r="I7" s="428"/>
      <c r="J7" s="419" t="s">
        <v>500</v>
      </c>
      <c r="O7" s="228" t="str">
        <f>B4</f>
        <v>10.1 MEJORA CONTINUA</v>
      </c>
      <c r="P7" s="224">
        <f>D4</f>
        <v>0</v>
      </c>
    </row>
    <row r="8" spans="1:16" ht="48.75" customHeight="1" thickBot="1" x14ac:dyDescent="0.4">
      <c r="B8" s="24" t="s">
        <v>501</v>
      </c>
      <c r="C8" s="440"/>
      <c r="D8" s="436"/>
      <c r="E8" s="437"/>
      <c r="F8" s="438"/>
      <c r="G8" s="430"/>
      <c r="H8" s="430"/>
      <c r="I8" s="430"/>
      <c r="J8" s="420"/>
      <c r="O8" s="223"/>
      <c r="P8" s="224"/>
    </row>
    <row r="9" spans="1:16" ht="58.5" customHeight="1" thickBot="1" x14ac:dyDescent="0.4">
      <c r="B9" s="225" t="s">
        <v>502</v>
      </c>
      <c r="C9" s="197"/>
      <c r="D9" s="197"/>
      <c r="E9" s="197"/>
      <c r="F9" s="197" t="s">
        <v>154</v>
      </c>
      <c r="G9" s="515" t="s">
        <v>503</v>
      </c>
      <c r="H9" s="432" t="s">
        <v>504</v>
      </c>
      <c r="I9" s="432" t="s">
        <v>505</v>
      </c>
      <c r="J9" s="420"/>
      <c r="O9" s="223"/>
      <c r="P9" s="224"/>
    </row>
    <row r="10" spans="1:16" ht="59.25" customHeight="1" x14ac:dyDescent="0.35">
      <c r="B10" s="225" t="s">
        <v>506</v>
      </c>
      <c r="C10" s="197"/>
      <c r="D10" s="197"/>
      <c r="E10" s="197"/>
      <c r="F10" s="197" t="s">
        <v>154</v>
      </c>
      <c r="G10" s="481"/>
      <c r="H10" s="432"/>
      <c r="I10" s="432"/>
      <c r="J10" s="420"/>
      <c r="O10" s="223"/>
      <c r="P10" s="224"/>
    </row>
    <row r="11" spans="1:16" ht="20.5" customHeight="1" x14ac:dyDescent="0.35">
      <c r="B11" s="229" t="s">
        <v>507</v>
      </c>
      <c r="C11" s="197"/>
      <c r="D11" s="197"/>
      <c r="E11" s="197"/>
      <c r="F11" s="197" t="s">
        <v>154</v>
      </c>
      <c r="G11" s="481"/>
      <c r="H11" s="432"/>
      <c r="I11" s="432"/>
      <c r="J11" s="420"/>
    </row>
    <row r="12" spans="1:16" ht="20.5" customHeight="1" x14ac:dyDescent="0.35">
      <c r="B12" s="229" t="s">
        <v>508</v>
      </c>
      <c r="C12" s="197"/>
      <c r="D12" s="197"/>
      <c r="E12" s="197"/>
      <c r="F12" s="197" t="s">
        <v>154</v>
      </c>
      <c r="G12" s="481"/>
      <c r="H12" s="432"/>
      <c r="I12" s="432"/>
      <c r="J12" s="420"/>
    </row>
    <row r="13" spans="1:16" ht="18.75" customHeight="1" x14ac:dyDescent="0.35">
      <c r="B13" s="229" t="s">
        <v>509</v>
      </c>
      <c r="C13" s="197"/>
      <c r="D13" s="197"/>
      <c r="E13" s="197"/>
      <c r="F13" s="197" t="s">
        <v>154</v>
      </c>
      <c r="G13" s="481"/>
      <c r="H13" s="432"/>
      <c r="I13" s="432"/>
      <c r="J13" s="420"/>
    </row>
    <row r="14" spans="1:16" ht="30" customHeight="1" x14ac:dyDescent="0.35">
      <c r="B14" s="230" t="s">
        <v>510</v>
      </c>
      <c r="C14" s="197"/>
      <c r="D14" s="197"/>
      <c r="E14" s="197"/>
      <c r="F14" s="197" t="s">
        <v>154</v>
      </c>
      <c r="G14" s="481"/>
      <c r="H14" s="432"/>
      <c r="I14" s="432"/>
      <c r="J14" s="420"/>
    </row>
    <row r="15" spans="1:16" ht="22" customHeight="1" x14ac:dyDescent="0.35">
      <c r="B15" s="230" t="s">
        <v>511</v>
      </c>
      <c r="C15" s="197"/>
      <c r="D15" s="197"/>
      <c r="E15" s="197"/>
      <c r="F15" s="197" t="s">
        <v>154</v>
      </c>
      <c r="G15" s="481"/>
      <c r="H15" s="432"/>
      <c r="I15" s="432"/>
      <c r="J15" s="420"/>
    </row>
    <row r="16" spans="1:16" ht="20.5" customHeight="1" x14ac:dyDescent="0.35">
      <c r="B16" s="229" t="s">
        <v>512</v>
      </c>
      <c r="C16" s="197"/>
      <c r="D16" s="197"/>
      <c r="E16" s="197"/>
      <c r="F16" s="197" t="s">
        <v>154</v>
      </c>
      <c r="G16" s="481"/>
      <c r="H16" s="432"/>
      <c r="I16" s="432"/>
      <c r="J16" s="420"/>
    </row>
    <row r="17" spans="2:10" x14ac:dyDescent="0.35">
      <c r="B17" s="229"/>
      <c r="C17" s="197"/>
      <c r="D17" s="197">
        <f>COUNTIF(F9:F37,"X")</f>
        <v>8</v>
      </c>
      <c r="E17" s="197">
        <f>COUNTIF(E9:E16,"X")</f>
        <v>0</v>
      </c>
      <c r="F17" s="197">
        <f>COUNTIF(F9:F16,"X")</f>
        <v>8</v>
      </c>
      <c r="G17" s="481"/>
      <c r="H17" s="432"/>
      <c r="I17" s="432"/>
      <c r="J17" s="297"/>
    </row>
    <row r="20" spans="2:10" x14ac:dyDescent="0.35">
      <c r="B20" s="167" t="s">
        <v>253</v>
      </c>
      <c r="C20" s="167" t="s">
        <v>254</v>
      </c>
    </row>
    <row r="21" spans="2:10" x14ac:dyDescent="0.35">
      <c r="B21" s="217" t="str">
        <f>+B4</f>
        <v>10.1 MEJORA CONTINUA</v>
      </c>
      <c r="C21" s="232">
        <f>+D4</f>
        <v>0</v>
      </c>
    </row>
    <row r="22" spans="2:10" x14ac:dyDescent="0.35">
      <c r="B22" s="217" t="str">
        <f>+B7</f>
        <v>10.2 NO CONFORMIDAD Y ACCIÓN CORRECTIVA</v>
      </c>
      <c r="C22" s="232">
        <f>+D7</f>
        <v>1</v>
      </c>
    </row>
    <row r="23" spans="2:10" x14ac:dyDescent="0.35">
      <c r="B23" s="133" t="s">
        <v>255</v>
      </c>
      <c r="C23" s="232">
        <f>AVERAGE(C21:C22)</f>
        <v>0.5</v>
      </c>
    </row>
  </sheetData>
  <mergeCells count="12">
    <mergeCell ref="A1:J1"/>
    <mergeCell ref="G9:G17"/>
    <mergeCell ref="H9:H17"/>
    <mergeCell ref="I9:I17"/>
    <mergeCell ref="D7:F8"/>
    <mergeCell ref="C7:C8"/>
    <mergeCell ref="G7:G8"/>
    <mergeCell ref="H7:H8"/>
    <mergeCell ref="J4:J5"/>
    <mergeCell ref="D4:F4"/>
    <mergeCell ref="I7:I8"/>
    <mergeCell ref="J7:J16"/>
  </mergeCells>
  <dataValidations count="1">
    <dataValidation type="list" allowBlank="1" showInputMessage="1" showErrorMessage="1" sqref="D15:F16 C15:C17 D13 D12:F12 D5:F5 C9:F11 C12:C14" xr:uid="{7E2014C3-3EF6-43D4-A3C0-A260A5742F97}">
      <formula1>"X"</formula1>
    </dataValidation>
  </dataValidations>
  <pageMargins left="0.7" right="0.7" top="0.75" bottom="0.75" header="0.3" footer="0.3"/>
  <pageSetup scale="60" orientation="portrait" r:id="rId1"/>
  <colBreaks count="1" manualBreakCount="1">
    <brk id="1" min="2" max="24" man="1"/>
  </col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1151D-49F8-46B0-8120-7CCBBC157459}">
  <sheetPr codeName="Hoja11">
    <tabColor rgb="FF00B050"/>
  </sheetPr>
  <dimension ref="A1:N122"/>
  <sheetViews>
    <sheetView showGridLines="0" tabSelected="1" zoomScale="55" zoomScaleNormal="55" workbookViewId="0">
      <selection activeCell="D5" sqref="D5"/>
    </sheetView>
  </sheetViews>
  <sheetFormatPr baseColWidth="10" defaultColWidth="17.26953125" defaultRowHeight="15" customHeight="1" x14ac:dyDescent="0.3"/>
  <cols>
    <col min="1" max="1" width="6.1796875" style="64" customWidth="1"/>
    <col min="2" max="2" width="6.54296875" style="312" customWidth="1"/>
    <col min="3" max="3" width="19.81640625" style="312" customWidth="1"/>
    <col min="4" max="4" width="49.453125" style="312" customWidth="1"/>
    <col min="5" max="5" width="15.81640625" style="312" customWidth="1"/>
    <col min="6" max="7" width="5.453125" style="64" customWidth="1"/>
    <col min="8" max="8" width="7.26953125" style="64" customWidth="1"/>
    <col min="9" max="9" width="5.453125" style="64" customWidth="1"/>
    <col min="10" max="10" width="27.1796875" style="312" customWidth="1"/>
    <col min="11" max="11" width="33.7265625" style="313" customWidth="1"/>
    <col min="12" max="12" width="45.81640625" style="313" customWidth="1"/>
    <col min="13" max="13" width="34" style="313" customWidth="1"/>
    <col min="14" max="16384" width="17.26953125" style="64"/>
  </cols>
  <sheetData>
    <row r="1" spans="1:13" ht="15" customHeight="1" thickBot="1" x14ac:dyDescent="0.4">
      <c r="C1" s="303"/>
      <c r="D1" s="303"/>
      <c r="E1" s="303"/>
      <c r="F1" s="65"/>
      <c r="G1" s="65"/>
      <c r="H1" s="65"/>
      <c r="I1" s="65"/>
      <c r="J1" s="303"/>
    </row>
    <row r="2" spans="1:13" ht="39.75" customHeight="1" x14ac:dyDescent="0.35">
      <c r="A2" s="336"/>
      <c r="B2" s="528" t="s">
        <v>513</v>
      </c>
      <c r="C2" s="529"/>
      <c r="D2" s="530"/>
      <c r="E2" s="337" t="s">
        <v>514</v>
      </c>
      <c r="F2" s="531" t="s">
        <v>515</v>
      </c>
      <c r="G2" s="531"/>
      <c r="H2" s="531"/>
      <c r="I2" s="531"/>
      <c r="J2" s="518" t="s">
        <v>147</v>
      </c>
      <c r="K2" s="518" t="s">
        <v>516</v>
      </c>
      <c r="L2" s="524" t="s">
        <v>490</v>
      </c>
      <c r="M2" s="521" t="s">
        <v>150</v>
      </c>
    </row>
    <row r="3" spans="1:13" ht="36" customHeight="1" x14ac:dyDescent="0.35">
      <c r="A3" s="336"/>
      <c r="B3" s="332">
        <v>5</v>
      </c>
      <c r="C3" s="532" t="s">
        <v>517</v>
      </c>
      <c r="D3" s="533"/>
      <c r="E3" s="304"/>
      <c r="F3" s="331" t="s">
        <v>143</v>
      </c>
      <c r="G3" s="331" t="s">
        <v>144</v>
      </c>
      <c r="H3" s="331" t="s">
        <v>145</v>
      </c>
      <c r="I3" s="331" t="s">
        <v>146</v>
      </c>
      <c r="J3" s="519"/>
      <c r="K3" s="519"/>
      <c r="L3" s="519"/>
      <c r="M3" s="522"/>
    </row>
    <row r="4" spans="1:13" ht="15" customHeight="1" x14ac:dyDescent="0.35">
      <c r="A4" s="336"/>
      <c r="B4" s="332">
        <v>5</v>
      </c>
      <c r="C4" s="532" t="s">
        <v>517</v>
      </c>
      <c r="D4" s="533"/>
      <c r="E4" s="304"/>
      <c r="F4" s="294"/>
      <c r="G4" s="523">
        <f>((F42*1)+(G42*0.5)+(H42*0))/37</f>
        <v>0.10810810810810811</v>
      </c>
      <c r="H4" s="523"/>
      <c r="I4" s="523"/>
      <c r="J4" s="350"/>
      <c r="K4" s="309"/>
      <c r="L4" s="309"/>
      <c r="M4" s="338"/>
    </row>
    <row r="5" spans="1:13" ht="112.5" x14ac:dyDescent="0.35">
      <c r="A5" s="336">
        <v>1</v>
      </c>
      <c r="B5" s="316" t="s">
        <v>518</v>
      </c>
      <c r="C5" s="66" t="s">
        <v>519</v>
      </c>
      <c r="D5" s="66" t="s">
        <v>520</v>
      </c>
      <c r="E5" s="66" t="s">
        <v>521</v>
      </c>
      <c r="F5" s="3"/>
      <c r="G5" s="3" t="s">
        <v>154</v>
      </c>
      <c r="H5" s="3"/>
      <c r="I5" s="3"/>
      <c r="J5" s="66"/>
      <c r="K5" s="334"/>
      <c r="L5" s="339"/>
      <c r="M5" s="359"/>
    </row>
    <row r="6" spans="1:13" ht="66" customHeight="1" x14ac:dyDescent="0.35">
      <c r="A6" s="336">
        <v>2</v>
      </c>
      <c r="B6" s="316" t="s">
        <v>522</v>
      </c>
      <c r="C6" s="66" t="s">
        <v>523</v>
      </c>
      <c r="D6" s="66" t="s">
        <v>524</v>
      </c>
      <c r="E6" s="66" t="s">
        <v>525</v>
      </c>
      <c r="F6" s="3"/>
      <c r="G6" s="3" t="s">
        <v>154</v>
      </c>
      <c r="H6" s="3"/>
      <c r="I6" s="3"/>
      <c r="J6" s="66"/>
      <c r="K6" s="334"/>
      <c r="L6" s="66"/>
      <c r="M6" s="360"/>
    </row>
    <row r="7" spans="1:13" ht="43.5" x14ac:dyDescent="0.35">
      <c r="A7" s="336">
        <v>3</v>
      </c>
      <c r="B7" s="316" t="s">
        <v>526</v>
      </c>
      <c r="C7" s="66" t="s">
        <v>527</v>
      </c>
      <c r="D7" s="66" t="s">
        <v>528</v>
      </c>
      <c r="E7" s="66" t="s">
        <v>529</v>
      </c>
      <c r="F7" s="3"/>
      <c r="G7" s="3" t="s">
        <v>154</v>
      </c>
      <c r="H7" s="3"/>
      <c r="I7" s="3"/>
      <c r="J7" s="66"/>
      <c r="K7" s="334"/>
      <c r="L7" s="66"/>
      <c r="M7" s="360"/>
    </row>
    <row r="8" spans="1:13" ht="87" x14ac:dyDescent="0.35">
      <c r="A8" s="336">
        <v>4</v>
      </c>
      <c r="B8" s="316" t="s">
        <v>530</v>
      </c>
      <c r="C8" s="66" t="s">
        <v>531</v>
      </c>
      <c r="D8" s="66" t="s">
        <v>532</v>
      </c>
      <c r="E8" s="66" t="s">
        <v>533</v>
      </c>
      <c r="F8" s="3"/>
      <c r="G8" s="336"/>
      <c r="H8" s="3" t="s">
        <v>154</v>
      </c>
      <c r="I8" s="3"/>
      <c r="J8" s="66"/>
      <c r="K8" s="334"/>
      <c r="L8" s="66"/>
      <c r="M8" s="360"/>
    </row>
    <row r="9" spans="1:13" ht="43.5" x14ac:dyDescent="0.35">
      <c r="A9" s="336">
        <v>5</v>
      </c>
      <c r="B9" s="316" t="s">
        <v>534</v>
      </c>
      <c r="C9" s="66" t="s">
        <v>535</v>
      </c>
      <c r="D9" s="66" t="s">
        <v>536</v>
      </c>
      <c r="E9" s="66" t="s">
        <v>537</v>
      </c>
      <c r="F9" s="3"/>
      <c r="G9" s="3"/>
      <c r="H9" s="3" t="s">
        <v>154</v>
      </c>
      <c r="I9" s="3"/>
      <c r="J9" s="66"/>
      <c r="K9" s="334"/>
      <c r="L9" s="66"/>
      <c r="M9" s="360"/>
    </row>
    <row r="10" spans="1:13" ht="58" x14ac:dyDescent="0.35">
      <c r="A10" s="336">
        <v>6</v>
      </c>
      <c r="B10" s="316" t="s">
        <v>538</v>
      </c>
      <c r="C10" s="66" t="s">
        <v>539</v>
      </c>
      <c r="D10" s="66" t="s">
        <v>540</v>
      </c>
      <c r="E10" s="66" t="s">
        <v>541</v>
      </c>
      <c r="F10" s="3"/>
      <c r="G10" s="3"/>
      <c r="H10" s="3" t="s">
        <v>154</v>
      </c>
      <c r="I10" s="3"/>
      <c r="J10" s="66"/>
      <c r="K10" s="334"/>
      <c r="L10" s="339"/>
      <c r="M10" s="360"/>
    </row>
    <row r="11" spans="1:13" ht="58" x14ac:dyDescent="0.35">
      <c r="A11" s="336">
        <v>7</v>
      </c>
      <c r="B11" s="316" t="s">
        <v>542</v>
      </c>
      <c r="C11" s="66" t="s">
        <v>543</v>
      </c>
      <c r="D11" s="66" t="s">
        <v>544</v>
      </c>
      <c r="E11" s="305" t="s">
        <v>545</v>
      </c>
      <c r="F11" s="3"/>
      <c r="G11" s="3" t="s">
        <v>154</v>
      </c>
      <c r="H11" s="3"/>
      <c r="I11" s="3"/>
      <c r="J11" s="66"/>
      <c r="K11" s="334"/>
      <c r="L11" s="339"/>
      <c r="M11" s="360"/>
    </row>
    <row r="12" spans="1:13" ht="43.5" x14ac:dyDescent="0.35">
      <c r="A12" s="336">
        <v>8</v>
      </c>
      <c r="B12" s="316" t="s">
        <v>546</v>
      </c>
      <c r="C12" s="66" t="s">
        <v>547</v>
      </c>
      <c r="D12" s="66" t="s">
        <v>548</v>
      </c>
      <c r="E12" s="66" t="s">
        <v>549</v>
      </c>
      <c r="F12" s="336"/>
      <c r="G12" s="3"/>
      <c r="H12" s="3"/>
      <c r="I12" s="3" t="s">
        <v>154</v>
      </c>
      <c r="J12" s="66"/>
      <c r="K12" s="334"/>
      <c r="L12" s="300"/>
      <c r="M12" s="360"/>
    </row>
    <row r="13" spans="1:13" ht="58" x14ac:dyDescent="0.35">
      <c r="A13" s="336">
        <v>9</v>
      </c>
      <c r="B13" s="316" t="s">
        <v>550</v>
      </c>
      <c r="C13" s="66" t="s">
        <v>551</v>
      </c>
      <c r="D13" s="66" t="s">
        <v>552</v>
      </c>
      <c r="E13" s="306" t="s">
        <v>553</v>
      </c>
      <c r="F13" s="340"/>
      <c r="G13" s="3"/>
      <c r="H13" s="3" t="s">
        <v>154</v>
      </c>
      <c r="I13" s="3"/>
      <c r="J13" s="66"/>
      <c r="K13" s="334"/>
      <c r="L13" s="66"/>
      <c r="M13" s="360"/>
    </row>
    <row r="14" spans="1:13" ht="58" x14ac:dyDescent="0.35">
      <c r="A14" s="336">
        <v>10</v>
      </c>
      <c r="B14" s="316" t="s">
        <v>554</v>
      </c>
      <c r="C14" s="66" t="s">
        <v>555</v>
      </c>
      <c r="D14" s="66" t="s">
        <v>556</v>
      </c>
      <c r="E14" s="306" t="s">
        <v>557</v>
      </c>
      <c r="F14" s="341"/>
      <c r="G14" s="3"/>
      <c r="H14" s="3" t="s">
        <v>154</v>
      </c>
      <c r="I14" s="3"/>
      <c r="J14" s="334"/>
      <c r="K14" s="334"/>
      <c r="L14" s="66"/>
      <c r="M14" s="360"/>
    </row>
    <row r="15" spans="1:13" ht="72.5" x14ac:dyDescent="0.35">
      <c r="A15" s="336">
        <v>11</v>
      </c>
      <c r="B15" s="316" t="s">
        <v>558</v>
      </c>
      <c r="C15" s="66" t="s">
        <v>559</v>
      </c>
      <c r="D15" s="66" t="s">
        <v>560</v>
      </c>
      <c r="E15" s="306" t="s">
        <v>561</v>
      </c>
      <c r="F15" s="341"/>
      <c r="G15" s="3"/>
      <c r="H15" s="3"/>
      <c r="I15" s="3" t="s">
        <v>154</v>
      </c>
      <c r="J15" s="66"/>
      <c r="K15" s="66"/>
      <c r="L15" s="66"/>
      <c r="M15" s="360"/>
    </row>
    <row r="16" spans="1:13" ht="87" x14ac:dyDescent="0.35">
      <c r="A16" s="336">
        <v>12</v>
      </c>
      <c r="B16" s="316" t="s">
        <v>562</v>
      </c>
      <c r="C16" s="66" t="s">
        <v>563</v>
      </c>
      <c r="D16" s="66" t="s">
        <v>564</v>
      </c>
      <c r="E16" s="306" t="s">
        <v>565</v>
      </c>
      <c r="F16" s="341"/>
      <c r="G16" s="3" t="s">
        <v>154</v>
      </c>
      <c r="H16" s="3"/>
      <c r="I16" s="3"/>
      <c r="J16" s="66"/>
      <c r="K16" s="334"/>
      <c r="L16" s="66"/>
      <c r="M16" s="360"/>
    </row>
    <row r="17" spans="1:13" ht="72.5" x14ac:dyDescent="0.35">
      <c r="A17" s="336">
        <v>13</v>
      </c>
      <c r="B17" s="316" t="s">
        <v>566</v>
      </c>
      <c r="C17" s="66" t="s">
        <v>567</v>
      </c>
      <c r="D17" s="66" t="s">
        <v>568</v>
      </c>
      <c r="E17" s="306" t="s">
        <v>569</v>
      </c>
      <c r="F17" s="341"/>
      <c r="G17" s="3" t="s">
        <v>154</v>
      </c>
      <c r="H17" s="3"/>
      <c r="I17" s="3"/>
      <c r="J17" s="66"/>
      <c r="K17" s="334"/>
      <c r="L17" s="66"/>
      <c r="M17" s="360"/>
    </row>
    <row r="18" spans="1:13" ht="72.5" x14ac:dyDescent="0.35">
      <c r="A18" s="336">
        <v>14</v>
      </c>
      <c r="B18" s="316" t="s">
        <v>570</v>
      </c>
      <c r="C18" s="66" t="s">
        <v>571</v>
      </c>
      <c r="D18" s="66" t="s">
        <v>572</v>
      </c>
      <c r="E18" s="306" t="s">
        <v>573</v>
      </c>
      <c r="F18" s="341"/>
      <c r="G18" s="3"/>
      <c r="H18" s="3" t="s">
        <v>154</v>
      </c>
      <c r="I18" s="3"/>
      <c r="J18" s="66"/>
      <c r="K18" s="334"/>
      <c r="L18" s="300"/>
      <c r="M18" s="360"/>
    </row>
    <row r="19" spans="1:13" ht="72.5" x14ac:dyDescent="0.35">
      <c r="A19" s="336">
        <v>15</v>
      </c>
      <c r="B19" s="316" t="s">
        <v>574</v>
      </c>
      <c r="C19" s="66" t="s">
        <v>575</v>
      </c>
      <c r="D19" s="66" t="s">
        <v>576</v>
      </c>
      <c r="E19" s="306" t="s">
        <v>577</v>
      </c>
      <c r="F19" s="341"/>
      <c r="G19" s="3"/>
      <c r="H19" s="3" t="s">
        <v>154</v>
      </c>
      <c r="I19" s="3"/>
      <c r="J19" s="66"/>
      <c r="K19" s="334"/>
      <c r="L19" s="300"/>
      <c r="M19" s="360"/>
    </row>
    <row r="20" spans="1:13" ht="43.5" x14ac:dyDescent="0.35">
      <c r="A20" s="336">
        <v>16</v>
      </c>
      <c r="B20" s="316" t="s">
        <v>578</v>
      </c>
      <c r="C20" s="66" t="s">
        <v>579</v>
      </c>
      <c r="D20" s="66" t="s">
        <v>580</v>
      </c>
      <c r="E20" s="306" t="s">
        <v>581</v>
      </c>
      <c r="F20" s="341"/>
      <c r="G20" s="3"/>
      <c r="H20" s="3" t="s">
        <v>154</v>
      </c>
      <c r="I20" s="3"/>
      <c r="J20" s="66"/>
      <c r="K20" s="334"/>
      <c r="L20" s="300"/>
      <c r="M20" s="360"/>
    </row>
    <row r="21" spans="1:13" ht="72.5" x14ac:dyDescent="0.35">
      <c r="A21" s="336">
        <v>17</v>
      </c>
      <c r="B21" s="316" t="s">
        <v>582</v>
      </c>
      <c r="C21" s="66" t="s">
        <v>583</v>
      </c>
      <c r="D21" s="66" t="s">
        <v>584</v>
      </c>
      <c r="E21" s="306" t="s">
        <v>585</v>
      </c>
      <c r="F21" s="341"/>
      <c r="G21" s="3" t="s">
        <v>154</v>
      </c>
      <c r="H21" s="3"/>
      <c r="I21" s="3"/>
      <c r="J21" s="66"/>
      <c r="K21" s="334"/>
      <c r="L21" s="66"/>
      <c r="M21" s="360"/>
    </row>
    <row r="22" spans="1:13" ht="70.5" x14ac:dyDescent="0.35">
      <c r="A22" s="336">
        <v>18</v>
      </c>
      <c r="B22" s="316" t="s">
        <v>586</v>
      </c>
      <c r="C22" s="335" t="s">
        <v>891</v>
      </c>
      <c r="D22" s="66" t="s">
        <v>587</v>
      </c>
      <c r="E22" s="306" t="s">
        <v>588</v>
      </c>
      <c r="F22" s="341"/>
      <c r="G22" s="3"/>
      <c r="H22" s="3" t="s">
        <v>154</v>
      </c>
      <c r="I22" s="3"/>
      <c r="J22" s="66"/>
      <c r="K22" s="334"/>
      <c r="L22" s="300"/>
      <c r="M22" s="361"/>
    </row>
    <row r="23" spans="1:13" ht="72.5" x14ac:dyDescent="0.35">
      <c r="A23" s="336">
        <v>19</v>
      </c>
      <c r="B23" s="316" t="s">
        <v>589</v>
      </c>
      <c r="C23" s="66" t="s">
        <v>590</v>
      </c>
      <c r="D23" s="66" t="s">
        <v>591</v>
      </c>
      <c r="E23" s="306" t="s">
        <v>592</v>
      </c>
      <c r="F23" s="341"/>
      <c r="G23" s="3" t="s">
        <v>154</v>
      </c>
      <c r="H23" s="3"/>
      <c r="I23" s="3"/>
      <c r="J23" s="66"/>
      <c r="K23" s="66"/>
      <c r="L23" s="66"/>
      <c r="M23" s="334"/>
    </row>
    <row r="24" spans="1:13" ht="72.5" x14ac:dyDescent="0.35">
      <c r="A24" s="336">
        <v>20</v>
      </c>
      <c r="B24" s="316" t="s">
        <v>593</v>
      </c>
      <c r="C24" s="66" t="s">
        <v>594</v>
      </c>
      <c r="D24" s="66" t="s">
        <v>595</v>
      </c>
      <c r="E24" s="306" t="s">
        <v>596</v>
      </c>
      <c r="F24" s="341"/>
      <c r="G24" s="3"/>
      <c r="H24" s="3" t="s">
        <v>154</v>
      </c>
      <c r="I24" s="3"/>
      <c r="J24" s="334"/>
      <c r="K24" s="66"/>
      <c r="L24" s="66"/>
      <c r="M24" s="334"/>
    </row>
    <row r="25" spans="1:13" ht="116" x14ac:dyDescent="0.35">
      <c r="A25" s="336">
        <v>21</v>
      </c>
      <c r="B25" s="316" t="s">
        <v>597</v>
      </c>
      <c r="C25" s="66" t="s">
        <v>598</v>
      </c>
      <c r="D25" s="66" t="s">
        <v>599</v>
      </c>
      <c r="E25" s="306" t="s">
        <v>600</v>
      </c>
      <c r="F25" s="341"/>
      <c r="G25" s="3"/>
      <c r="H25" s="3" t="s">
        <v>154</v>
      </c>
      <c r="I25" s="3"/>
      <c r="J25" s="334"/>
      <c r="K25" s="66"/>
      <c r="L25" s="66"/>
      <c r="M25" s="334"/>
    </row>
    <row r="26" spans="1:13" ht="72.5" x14ac:dyDescent="0.35">
      <c r="A26" s="336">
        <v>22</v>
      </c>
      <c r="B26" s="316" t="s">
        <v>601</v>
      </c>
      <c r="C26" s="66" t="s">
        <v>602</v>
      </c>
      <c r="D26" s="66" t="s">
        <v>603</v>
      </c>
      <c r="E26" s="306" t="s">
        <v>604</v>
      </c>
      <c r="F26" s="341"/>
      <c r="G26" s="3"/>
      <c r="H26" s="3" t="s">
        <v>154</v>
      </c>
      <c r="I26" s="3"/>
      <c r="J26" s="334"/>
      <c r="K26" s="66"/>
      <c r="L26" s="66"/>
      <c r="M26" s="334"/>
    </row>
    <row r="27" spans="1:13" ht="261.75" customHeight="1" x14ac:dyDescent="0.35">
      <c r="A27" s="336">
        <v>23</v>
      </c>
      <c r="B27" s="316" t="s">
        <v>605</v>
      </c>
      <c r="C27" s="66" t="s">
        <v>606</v>
      </c>
      <c r="D27" s="66" t="s">
        <v>607</v>
      </c>
      <c r="E27" s="307" t="s">
        <v>608</v>
      </c>
      <c r="F27" s="341"/>
      <c r="G27" s="3"/>
      <c r="H27" s="3"/>
      <c r="I27" s="3" t="s">
        <v>154</v>
      </c>
      <c r="J27" s="334"/>
      <c r="K27" s="334"/>
      <c r="L27" s="339"/>
      <c r="M27" s="334"/>
    </row>
    <row r="28" spans="1:13" ht="87" x14ac:dyDescent="0.35">
      <c r="A28" s="336">
        <v>24</v>
      </c>
      <c r="B28" s="316" t="s">
        <v>609</v>
      </c>
      <c r="C28" s="66" t="s">
        <v>610</v>
      </c>
      <c r="D28" s="66" t="s">
        <v>611</v>
      </c>
      <c r="E28" s="306" t="s">
        <v>612</v>
      </c>
      <c r="F28" s="341"/>
      <c r="G28" s="3"/>
      <c r="H28" s="3"/>
      <c r="I28" s="3" t="s">
        <v>154</v>
      </c>
      <c r="J28" s="66"/>
      <c r="K28" s="334"/>
      <c r="L28" s="300"/>
      <c r="M28" s="334"/>
    </row>
    <row r="29" spans="1:13" ht="58" x14ac:dyDescent="0.35">
      <c r="A29" s="336">
        <v>25</v>
      </c>
      <c r="B29" s="316" t="s">
        <v>613</v>
      </c>
      <c r="C29" s="66" t="s">
        <v>614</v>
      </c>
      <c r="D29" s="66" t="s">
        <v>615</v>
      </c>
      <c r="E29" s="306" t="s">
        <v>616</v>
      </c>
      <c r="F29" s="341"/>
      <c r="G29" s="3"/>
      <c r="H29" s="3"/>
      <c r="I29" s="3" t="s">
        <v>154</v>
      </c>
      <c r="J29" s="66"/>
      <c r="K29" s="334"/>
      <c r="L29" s="300"/>
      <c r="M29" s="334"/>
    </row>
    <row r="30" spans="1:13" ht="66.650000000000006" customHeight="1" x14ac:dyDescent="0.35">
      <c r="A30" s="336">
        <v>26</v>
      </c>
      <c r="B30" s="316" t="s">
        <v>617</v>
      </c>
      <c r="C30" s="66" t="s">
        <v>618</v>
      </c>
      <c r="D30" s="66" t="s">
        <v>619</v>
      </c>
      <c r="E30" s="306" t="s">
        <v>620</v>
      </c>
      <c r="F30" s="341"/>
      <c r="G30" s="3"/>
      <c r="H30" s="3"/>
      <c r="I30" s="3" t="s">
        <v>154</v>
      </c>
      <c r="J30" s="66"/>
      <c r="K30" s="334"/>
      <c r="L30" s="300"/>
      <c r="M30" s="334"/>
    </row>
    <row r="31" spans="1:13" ht="72.5" x14ac:dyDescent="0.35">
      <c r="A31" s="336">
        <v>27</v>
      </c>
      <c r="B31" s="316" t="s">
        <v>621</v>
      </c>
      <c r="C31" s="66" t="s">
        <v>622</v>
      </c>
      <c r="D31" s="66" t="s">
        <v>623</v>
      </c>
      <c r="E31" s="306" t="s">
        <v>624</v>
      </c>
      <c r="F31" s="341"/>
      <c r="G31" s="3"/>
      <c r="H31" s="3"/>
      <c r="I31" s="3" t="s">
        <v>154</v>
      </c>
      <c r="J31" s="66"/>
      <c r="K31" s="334"/>
      <c r="L31" s="300"/>
      <c r="M31" s="334"/>
    </row>
    <row r="32" spans="1:13" ht="73.5" customHeight="1" x14ac:dyDescent="0.35">
      <c r="A32" s="336">
        <v>28</v>
      </c>
      <c r="B32" s="316" t="s">
        <v>625</v>
      </c>
      <c r="C32" s="66" t="s">
        <v>626</v>
      </c>
      <c r="D32" s="66" t="s">
        <v>627</v>
      </c>
      <c r="E32" s="306" t="s">
        <v>628</v>
      </c>
      <c r="F32" s="341"/>
      <c r="G32" s="3"/>
      <c r="H32" s="3"/>
      <c r="I32" s="3" t="s">
        <v>154</v>
      </c>
      <c r="J32" s="66"/>
      <c r="K32" s="334"/>
      <c r="L32" s="300"/>
      <c r="M32" s="334"/>
    </row>
    <row r="33" spans="1:13" ht="58" x14ac:dyDescent="0.35">
      <c r="A33" s="336">
        <v>29</v>
      </c>
      <c r="B33" s="316" t="s">
        <v>629</v>
      </c>
      <c r="C33" s="66" t="s">
        <v>630</v>
      </c>
      <c r="D33" s="66" t="s">
        <v>631</v>
      </c>
      <c r="E33" s="308" t="s">
        <v>632</v>
      </c>
      <c r="F33" s="341"/>
      <c r="G33" s="3"/>
      <c r="H33" s="3"/>
      <c r="I33" s="3" t="s">
        <v>154</v>
      </c>
      <c r="J33" s="66"/>
      <c r="K33" s="334"/>
      <c r="L33" s="300"/>
      <c r="M33" s="334"/>
    </row>
    <row r="34" spans="1:13" ht="79.5" customHeight="1" x14ac:dyDescent="0.35">
      <c r="A34" s="336">
        <v>30</v>
      </c>
      <c r="B34" s="316" t="s">
        <v>633</v>
      </c>
      <c r="C34" s="66" t="s">
        <v>634</v>
      </c>
      <c r="D34" s="66" t="s">
        <v>635</v>
      </c>
      <c r="E34" s="307"/>
      <c r="F34" s="341"/>
      <c r="G34" s="3"/>
      <c r="H34" s="3"/>
      <c r="I34" s="3" t="s">
        <v>154</v>
      </c>
      <c r="J34" s="66"/>
      <c r="K34" s="334"/>
      <c r="L34" s="300"/>
      <c r="M34" s="334"/>
    </row>
    <row r="35" spans="1:13" ht="93" customHeight="1" x14ac:dyDescent="0.35">
      <c r="A35" s="336">
        <v>31</v>
      </c>
      <c r="B35" s="316" t="s">
        <v>636</v>
      </c>
      <c r="C35" s="66" t="s">
        <v>637</v>
      </c>
      <c r="D35" s="66" t="s">
        <v>638</v>
      </c>
      <c r="E35" s="306" t="s">
        <v>639</v>
      </c>
      <c r="F35" s="341"/>
      <c r="G35" s="3"/>
      <c r="H35" s="3"/>
      <c r="I35" s="3" t="s">
        <v>154</v>
      </c>
      <c r="J35" s="66"/>
      <c r="K35" s="334"/>
      <c r="L35" s="300"/>
      <c r="M35" s="334"/>
    </row>
    <row r="36" spans="1:13" ht="58" x14ac:dyDescent="0.35">
      <c r="A36" s="336">
        <v>32</v>
      </c>
      <c r="B36" s="316" t="s">
        <v>640</v>
      </c>
      <c r="C36" s="66" t="s">
        <v>641</v>
      </c>
      <c r="D36" s="66" t="s">
        <v>642</v>
      </c>
      <c r="E36" s="306" t="s">
        <v>643</v>
      </c>
      <c r="F36" s="341"/>
      <c r="G36" s="3"/>
      <c r="H36" s="3" t="s">
        <v>154</v>
      </c>
      <c r="I36" s="3"/>
      <c r="J36" s="66"/>
      <c r="K36" s="66"/>
      <c r="L36" s="66"/>
      <c r="M36" s="334"/>
    </row>
    <row r="37" spans="1:13" ht="63.75" customHeight="1" x14ac:dyDescent="0.35">
      <c r="A37" s="336">
        <v>33</v>
      </c>
      <c r="B37" s="316" t="s">
        <v>644</v>
      </c>
      <c r="C37" s="66" t="s">
        <v>645</v>
      </c>
      <c r="D37" s="66" t="s">
        <v>646</v>
      </c>
      <c r="E37" s="306" t="s">
        <v>647</v>
      </c>
      <c r="F37" s="341"/>
      <c r="G37" s="3"/>
      <c r="H37" s="3"/>
      <c r="I37" s="3" t="s">
        <v>154</v>
      </c>
      <c r="J37" s="66"/>
      <c r="K37" s="334"/>
      <c r="L37" s="300"/>
      <c r="M37" s="334"/>
    </row>
    <row r="38" spans="1:13" ht="87" x14ac:dyDescent="0.35">
      <c r="A38" s="336">
        <v>34</v>
      </c>
      <c r="B38" s="316" t="s">
        <v>648</v>
      </c>
      <c r="C38" s="66" t="s">
        <v>649</v>
      </c>
      <c r="D38" s="66" t="s">
        <v>650</v>
      </c>
      <c r="E38" s="306" t="s">
        <v>651</v>
      </c>
      <c r="F38" s="341"/>
      <c r="G38" s="3"/>
      <c r="H38" s="3" t="s">
        <v>154</v>
      </c>
      <c r="I38" s="3"/>
      <c r="J38" s="334"/>
      <c r="K38" s="334"/>
      <c r="L38" s="300"/>
      <c r="M38" s="334"/>
    </row>
    <row r="39" spans="1:13" ht="87" x14ac:dyDescent="0.35">
      <c r="A39" s="336">
        <v>35</v>
      </c>
      <c r="B39" s="316" t="s">
        <v>652</v>
      </c>
      <c r="C39" s="66" t="s">
        <v>653</v>
      </c>
      <c r="D39" s="66" t="s">
        <v>654</v>
      </c>
      <c r="E39" s="306" t="s">
        <v>655</v>
      </c>
      <c r="F39" s="341"/>
      <c r="G39" s="3"/>
      <c r="H39" s="3"/>
      <c r="I39" s="3" t="s">
        <v>154</v>
      </c>
      <c r="J39" s="66"/>
      <c r="K39" s="334"/>
      <c r="L39" s="300"/>
      <c r="M39" s="334"/>
    </row>
    <row r="40" spans="1:13" ht="72.5" x14ac:dyDescent="0.35">
      <c r="A40" s="336">
        <v>36</v>
      </c>
      <c r="B40" s="316" t="s">
        <v>656</v>
      </c>
      <c r="C40" s="66" t="s">
        <v>657</v>
      </c>
      <c r="D40" s="66" t="s">
        <v>658</v>
      </c>
      <c r="E40" s="306" t="s">
        <v>659</v>
      </c>
      <c r="F40" s="341"/>
      <c r="G40" s="3"/>
      <c r="H40" s="3" t="s">
        <v>154</v>
      </c>
      <c r="I40" s="3"/>
      <c r="J40" s="300"/>
      <c r="K40" s="334"/>
      <c r="L40" s="300"/>
      <c r="M40" s="334"/>
    </row>
    <row r="41" spans="1:13" ht="64.5" customHeight="1" x14ac:dyDescent="0.35">
      <c r="A41" s="336">
        <v>37</v>
      </c>
      <c r="B41" s="316" t="s">
        <v>660</v>
      </c>
      <c r="C41" s="66" t="s">
        <v>661</v>
      </c>
      <c r="D41" s="66" t="s">
        <v>890</v>
      </c>
      <c r="E41" s="308" t="s">
        <v>662</v>
      </c>
      <c r="F41" s="341"/>
      <c r="G41" s="3"/>
      <c r="H41" s="3" t="s">
        <v>154</v>
      </c>
      <c r="I41" s="3"/>
      <c r="J41" s="66"/>
      <c r="K41" s="334"/>
      <c r="L41" s="300"/>
      <c r="M41" s="334"/>
    </row>
    <row r="42" spans="1:13" ht="23.15" customHeight="1" x14ac:dyDescent="0.35">
      <c r="A42" s="336"/>
      <c r="B42" s="316"/>
      <c r="C42" s="66"/>
      <c r="D42" s="66"/>
      <c r="E42" s="306"/>
      <c r="F42" s="341">
        <f>COUNTIF(F5:F37,"X")</f>
        <v>0</v>
      </c>
      <c r="G42" s="341">
        <f>COUNTIF(G5:G41,"X")</f>
        <v>8</v>
      </c>
      <c r="H42" s="341">
        <f>COUNTIF(H5:H41,"X")</f>
        <v>16</v>
      </c>
      <c r="I42" s="341">
        <f>COUNTIF(I5:I41,"X")</f>
        <v>13</v>
      </c>
      <c r="J42" s="66"/>
      <c r="K42" s="334"/>
      <c r="L42" s="339"/>
      <c r="M42" s="334"/>
    </row>
    <row r="43" spans="1:13" ht="15" customHeight="1" x14ac:dyDescent="0.35">
      <c r="A43" s="336"/>
      <c r="B43" s="332">
        <v>6</v>
      </c>
      <c r="C43" s="516" t="s">
        <v>663</v>
      </c>
      <c r="D43" s="516"/>
      <c r="E43" s="309"/>
      <c r="F43" s="294"/>
      <c r="G43" s="523">
        <f>((G52*1)+(H52*0.5)+(I52*0))/8</f>
        <v>0.5</v>
      </c>
      <c r="H43" s="523"/>
      <c r="I43" s="523"/>
      <c r="J43" s="517"/>
      <c r="K43" s="517"/>
      <c r="L43" s="351"/>
      <c r="M43" s="334"/>
    </row>
    <row r="44" spans="1:13" ht="184.5" customHeight="1" x14ac:dyDescent="0.35">
      <c r="A44" s="336">
        <v>38</v>
      </c>
      <c r="B44" s="316" t="s">
        <v>664</v>
      </c>
      <c r="C44" s="66" t="s">
        <v>665</v>
      </c>
      <c r="D44" s="66" t="s">
        <v>666</v>
      </c>
      <c r="E44" s="66" t="s">
        <v>667</v>
      </c>
      <c r="F44" s="341"/>
      <c r="G44" s="3" t="s">
        <v>154</v>
      </c>
      <c r="H44" s="3"/>
      <c r="I44" s="3"/>
      <c r="J44" s="68"/>
      <c r="K44" s="342"/>
      <c r="L44" s="301"/>
      <c r="M44" s="343"/>
    </row>
    <row r="45" spans="1:13" ht="158.25" customHeight="1" x14ac:dyDescent="0.35">
      <c r="A45" s="336">
        <v>39</v>
      </c>
      <c r="B45" s="316" t="s">
        <v>668</v>
      </c>
      <c r="C45" s="66" t="s">
        <v>669</v>
      </c>
      <c r="D45" s="66" t="s">
        <v>670</v>
      </c>
      <c r="E45" s="66" t="s">
        <v>671</v>
      </c>
      <c r="F45" s="341"/>
      <c r="G45" s="3" t="s">
        <v>154</v>
      </c>
      <c r="H45" s="3"/>
      <c r="I45" s="3"/>
      <c r="J45" s="68"/>
      <c r="K45" s="342"/>
      <c r="L45" s="301"/>
      <c r="M45" s="343"/>
    </row>
    <row r="46" spans="1:13" ht="158.25" customHeight="1" x14ac:dyDescent="0.35">
      <c r="A46" s="336">
        <v>40</v>
      </c>
      <c r="B46" s="316" t="s">
        <v>672</v>
      </c>
      <c r="C46" s="66" t="s">
        <v>673</v>
      </c>
      <c r="D46" s="66" t="s">
        <v>674</v>
      </c>
      <c r="E46" s="66" t="s">
        <v>675</v>
      </c>
      <c r="F46" s="341"/>
      <c r="G46" s="3"/>
      <c r="H46" s="3"/>
      <c r="I46" s="3" t="s">
        <v>154</v>
      </c>
      <c r="J46" s="68"/>
      <c r="K46" s="342"/>
      <c r="L46" s="300"/>
      <c r="M46" s="343"/>
    </row>
    <row r="47" spans="1:13" ht="158.25" customHeight="1" x14ac:dyDescent="0.35">
      <c r="A47" s="336">
        <v>41</v>
      </c>
      <c r="B47" s="316" t="s">
        <v>676</v>
      </c>
      <c r="C47" s="66" t="s">
        <v>677</v>
      </c>
      <c r="D47" s="66" t="s">
        <v>678</v>
      </c>
      <c r="E47" s="66" t="s">
        <v>679</v>
      </c>
      <c r="F47" s="341"/>
      <c r="G47" s="3" t="s">
        <v>154</v>
      </c>
      <c r="H47" s="3"/>
      <c r="I47" s="3"/>
      <c r="J47" s="68"/>
      <c r="K47" s="342"/>
      <c r="L47" s="353"/>
      <c r="M47" s="343"/>
    </row>
    <row r="48" spans="1:13" ht="158.25" customHeight="1" x14ac:dyDescent="0.35">
      <c r="A48" s="336">
        <v>42</v>
      </c>
      <c r="B48" s="316" t="s">
        <v>680</v>
      </c>
      <c r="C48" s="66" t="s">
        <v>681</v>
      </c>
      <c r="D48" s="66" t="s">
        <v>682</v>
      </c>
      <c r="E48" s="66" t="s">
        <v>671</v>
      </c>
      <c r="F48" s="341"/>
      <c r="G48" s="3"/>
      <c r="H48" s="3" t="s">
        <v>154</v>
      </c>
      <c r="I48" s="3"/>
      <c r="J48" s="68"/>
      <c r="K48" s="349"/>
      <c r="L48" s="353"/>
      <c r="M48" s="343"/>
    </row>
    <row r="49" spans="1:14" ht="112" customHeight="1" x14ac:dyDescent="0.35">
      <c r="A49" s="336">
        <v>43</v>
      </c>
      <c r="B49" s="316" t="s">
        <v>683</v>
      </c>
      <c r="C49" s="66" t="s">
        <v>684</v>
      </c>
      <c r="D49" s="66" t="s">
        <v>685</v>
      </c>
      <c r="E49" s="66" t="s">
        <v>686</v>
      </c>
      <c r="F49" s="341"/>
      <c r="G49" s="3"/>
      <c r="H49" s="3" t="s">
        <v>154</v>
      </c>
      <c r="I49" s="3"/>
      <c r="J49" s="68"/>
      <c r="K49" s="348"/>
      <c r="L49" s="301"/>
      <c r="M49" s="343"/>
    </row>
    <row r="50" spans="1:14" ht="72" customHeight="1" x14ac:dyDescent="0.35">
      <c r="A50" s="336">
        <v>44</v>
      </c>
      <c r="B50" s="316" t="s">
        <v>687</v>
      </c>
      <c r="C50" s="66" t="s">
        <v>688</v>
      </c>
      <c r="D50" s="66" t="s">
        <v>689</v>
      </c>
      <c r="E50" s="66" t="s">
        <v>690</v>
      </c>
      <c r="F50" s="341"/>
      <c r="G50" s="3"/>
      <c r="H50" s="3"/>
      <c r="I50" s="3" t="s">
        <v>154</v>
      </c>
      <c r="J50" s="346"/>
      <c r="K50" s="314"/>
      <c r="L50" s="300"/>
      <c r="M50" s="343"/>
    </row>
    <row r="51" spans="1:14" ht="89.5" customHeight="1" x14ac:dyDescent="0.35">
      <c r="A51" s="336">
        <v>45</v>
      </c>
      <c r="B51" s="316" t="s">
        <v>691</v>
      </c>
      <c r="C51" s="66" t="s">
        <v>692</v>
      </c>
      <c r="D51" s="66" t="s">
        <v>693</v>
      </c>
      <c r="E51" s="66" t="s">
        <v>694</v>
      </c>
      <c r="F51" s="341"/>
      <c r="G51" s="3"/>
      <c r="H51" s="3"/>
      <c r="I51" s="3" t="s">
        <v>154</v>
      </c>
      <c r="J51" s="346"/>
      <c r="K51" s="315"/>
      <c r="L51" s="344"/>
      <c r="M51" s="343"/>
    </row>
    <row r="52" spans="1:14" ht="20.149999999999999" customHeight="1" x14ac:dyDescent="0.35">
      <c r="A52" s="336"/>
      <c r="B52" s="316"/>
      <c r="C52" s="66"/>
      <c r="D52" s="66"/>
      <c r="E52" s="310"/>
      <c r="F52" s="345">
        <f>COUNTIF(F44:F51,"X")</f>
        <v>0</v>
      </c>
      <c r="G52" s="345">
        <f>COUNTIF(G44:G51,"X")</f>
        <v>3</v>
      </c>
      <c r="H52" s="345">
        <f>COUNTIF(H44:H51,"X")</f>
        <v>2</v>
      </c>
      <c r="I52" s="345">
        <f>COUNTIF(I44:I51,"X")</f>
        <v>3</v>
      </c>
      <c r="J52" s="346"/>
      <c r="K52" s="315"/>
      <c r="L52" s="315"/>
      <c r="M52" s="343"/>
    </row>
    <row r="53" spans="1:14" ht="15" customHeight="1" x14ac:dyDescent="0.35">
      <c r="A53" s="336"/>
      <c r="B53" s="332">
        <v>7</v>
      </c>
      <c r="C53" s="516" t="s">
        <v>695</v>
      </c>
      <c r="D53" s="516"/>
      <c r="E53" s="311"/>
      <c r="F53" s="294"/>
      <c r="G53" s="523">
        <f>((F68*1)+(G68*0.5)+(H68*0))/14</f>
        <v>7.1428571428571425E-2</v>
      </c>
      <c r="H53" s="523"/>
      <c r="I53" s="523"/>
      <c r="J53" s="517"/>
      <c r="K53" s="517"/>
      <c r="L53" s="351"/>
      <c r="M53" s="334"/>
    </row>
    <row r="54" spans="1:14" ht="58" x14ac:dyDescent="0.35">
      <c r="A54" s="336">
        <v>46</v>
      </c>
      <c r="B54" s="316" t="s">
        <v>696</v>
      </c>
      <c r="C54" s="66" t="s">
        <v>697</v>
      </c>
      <c r="D54" s="66" t="s">
        <v>698</v>
      </c>
      <c r="E54" s="66" t="s">
        <v>699</v>
      </c>
      <c r="F54" s="341"/>
      <c r="G54" s="3"/>
      <c r="H54" s="3" t="s">
        <v>154</v>
      </c>
      <c r="I54" s="3"/>
      <c r="J54" s="346"/>
      <c r="K54" s="315"/>
      <c r="L54" s="346"/>
      <c r="M54" s="342"/>
      <c r="N54" s="69"/>
    </row>
    <row r="55" spans="1:14" ht="45" customHeight="1" x14ac:dyDescent="0.35">
      <c r="A55" s="336">
        <v>47</v>
      </c>
      <c r="B55" s="316" t="s">
        <v>700</v>
      </c>
      <c r="C55" s="66" t="s">
        <v>701</v>
      </c>
      <c r="D55" s="66" t="s">
        <v>702</v>
      </c>
      <c r="E55" s="66" t="s">
        <v>703</v>
      </c>
      <c r="F55" s="341"/>
      <c r="G55" s="3"/>
      <c r="H55" s="3" t="s">
        <v>154</v>
      </c>
      <c r="I55" s="3"/>
      <c r="J55" s="346"/>
      <c r="K55" s="315"/>
      <c r="L55" s="346"/>
      <c r="M55" s="342"/>
      <c r="N55" s="69"/>
    </row>
    <row r="56" spans="1:14" ht="45" customHeight="1" x14ac:dyDescent="0.35">
      <c r="A56" s="336">
        <v>48</v>
      </c>
      <c r="B56" s="316" t="s">
        <v>704</v>
      </c>
      <c r="C56" s="66" t="s">
        <v>705</v>
      </c>
      <c r="D56" s="66" t="s">
        <v>706</v>
      </c>
      <c r="E56" s="66" t="s">
        <v>707</v>
      </c>
      <c r="F56" s="341"/>
      <c r="G56" s="3"/>
      <c r="H56" s="3" t="s">
        <v>154</v>
      </c>
      <c r="I56" s="3"/>
      <c r="J56" s="346"/>
      <c r="K56" s="315"/>
      <c r="L56" s="346"/>
      <c r="M56" s="342"/>
      <c r="N56" s="69"/>
    </row>
    <row r="57" spans="1:14" ht="58" x14ac:dyDescent="0.35">
      <c r="A57" s="336">
        <v>49</v>
      </c>
      <c r="B57" s="316" t="s">
        <v>708</v>
      </c>
      <c r="C57" s="66" t="s">
        <v>709</v>
      </c>
      <c r="D57" s="66" t="s">
        <v>710</v>
      </c>
      <c r="E57" s="305"/>
      <c r="F57" s="341"/>
      <c r="G57" s="3"/>
      <c r="H57" s="3" t="s">
        <v>154</v>
      </c>
      <c r="I57" s="3"/>
      <c r="J57" s="346"/>
      <c r="K57" s="315"/>
      <c r="L57" s="347"/>
      <c r="M57" s="342"/>
      <c r="N57" s="69"/>
    </row>
    <row r="58" spans="1:14" ht="86.5" customHeight="1" x14ac:dyDescent="0.35">
      <c r="A58" s="336">
        <v>50</v>
      </c>
      <c r="B58" s="316" t="s">
        <v>711</v>
      </c>
      <c r="C58" s="66" t="s">
        <v>712</v>
      </c>
      <c r="D58" s="66" t="s">
        <v>713</v>
      </c>
      <c r="E58" s="66" t="s">
        <v>714</v>
      </c>
      <c r="F58" s="341"/>
      <c r="G58" s="3" t="s">
        <v>154</v>
      </c>
      <c r="H58" s="3"/>
      <c r="I58" s="3"/>
      <c r="J58" s="346"/>
      <c r="K58" s="352"/>
      <c r="L58" s="357"/>
      <c r="M58" s="342"/>
      <c r="N58" s="69"/>
    </row>
    <row r="59" spans="1:14" ht="109.5" customHeight="1" x14ac:dyDescent="0.35">
      <c r="A59" s="336">
        <v>51</v>
      </c>
      <c r="B59" s="316" t="s">
        <v>715</v>
      </c>
      <c r="C59" s="66" t="s">
        <v>716</v>
      </c>
      <c r="D59" s="66" t="s">
        <v>717</v>
      </c>
      <c r="E59" s="66" t="s">
        <v>718</v>
      </c>
      <c r="F59" s="341"/>
      <c r="G59" s="3" t="s">
        <v>154</v>
      </c>
      <c r="H59" s="3"/>
      <c r="I59" s="3"/>
      <c r="J59" s="346"/>
      <c r="K59" s="315"/>
      <c r="L59" s="357"/>
      <c r="M59" s="342"/>
      <c r="N59" s="69"/>
    </row>
    <row r="60" spans="1:14" ht="84.5" x14ac:dyDescent="0.35">
      <c r="A60" s="336">
        <v>52</v>
      </c>
      <c r="B60" s="316" t="s">
        <v>719</v>
      </c>
      <c r="C60" s="66" t="s">
        <v>720</v>
      </c>
      <c r="D60" s="66" t="s">
        <v>721</v>
      </c>
      <c r="E60" s="66" t="s">
        <v>722</v>
      </c>
      <c r="F60" s="341"/>
      <c r="G60" s="3"/>
      <c r="H60" s="3"/>
      <c r="I60" s="3" t="s">
        <v>154</v>
      </c>
      <c r="J60" s="346"/>
      <c r="K60" s="314"/>
      <c r="L60" s="300"/>
      <c r="M60" s="342"/>
      <c r="N60" s="69"/>
    </row>
    <row r="61" spans="1:14" ht="45" customHeight="1" x14ac:dyDescent="0.35">
      <c r="A61" s="336">
        <v>53</v>
      </c>
      <c r="B61" s="316" t="s">
        <v>723</v>
      </c>
      <c r="C61" s="66" t="s">
        <v>724</v>
      </c>
      <c r="D61" s="66" t="s">
        <v>725</v>
      </c>
      <c r="E61" s="66" t="s">
        <v>726</v>
      </c>
      <c r="F61" s="341"/>
      <c r="G61" s="3"/>
      <c r="H61" s="3" t="s">
        <v>154</v>
      </c>
      <c r="I61" s="3"/>
      <c r="J61" s="346"/>
      <c r="K61" s="315"/>
      <c r="L61" s="346"/>
      <c r="M61" s="342"/>
      <c r="N61" s="69"/>
    </row>
    <row r="62" spans="1:14" ht="43.5" x14ac:dyDescent="0.35">
      <c r="A62" s="336">
        <v>54</v>
      </c>
      <c r="B62" s="316" t="s">
        <v>727</v>
      </c>
      <c r="C62" s="66" t="s">
        <v>728</v>
      </c>
      <c r="D62" s="66" t="s">
        <v>729</v>
      </c>
      <c r="E62" s="66" t="s">
        <v>730</v>
      </c>
      <c r="F62" s="341"/>
      <c r="G62" s="3"/>
      <c r="H62" s="3"/>
      <c r="I62" s="3" t="s">
        <v>154</v>
      </c>
      <c r="J62" s="346"/>
      <c r="K62" s="315"/>
      <c r="L62" s="344"/>
      <c r="M62" s="342"/>
      <c r="N62" s="69"/>
    </row>
    <row r="63" spans="1:14" ht="88.5" customHeight="1" x14ac:dyDescent="0.35">
      <c r="A63" s="336">
        <v>55</v>
      </c>
      <c r="B63" s="316" t="s">
        <v>731</v>
      </c>
      <c r="C63" s="66" t="s">
        <v>732</v>
      </c>
      <c r="D63" s="66" t="s">
        <v>733</v>
      </c>
      <c r="E63" s="66" t="s">
        <v>734</v>
      </c>
      <c r="F63" s="341"/>
      <c r="G63" s="3"/>
      <c r="H63" s="3"/>
      <c r="I63" s="3" t="s">
        <v>154</v>
      </c>
      <c r="J63" s="338"/>
      <c r="K63" s="354"/>
      <c r="L63" s="300"/>
      <c r="M63" s="342"/>
      <c r="N63" s="69"/>
    </row>
    <row r="64" spans="1:14" ht="72.5" x14ac:dyDescent="0.35">
      <c r="A64" s="336">
        <v>56</v>
      </c>
      <c r="B64" s="316" t="s">
        <v>735</v>
      </c>
      <c r="C64" s="66" t="s">
        <v>736</v>
      </c>
      <c r="D64" s="66" t="s">
        <v>737</v>
      </c>
      <c r="E64" s="66" t="s">
        <v>738</v>
      </c>
      <c r="F64" s="341"/>
      <c r="G64" s="3"/>
      <c r="H64" s="3"/>
      <c r="I64" s="3" t="s">
        <v>154</v>
      </c>
      <c r="J64" s="346"/>
      <c r="K64" s="342"/>
      <c r="L64" s="355"/>
      <c r="M64" s="342"/>
      <c r="N64" s="70"/>
    </row>
    <row r="65" spans="1:14" ht="58" x14ac:dyDescent="0.35">
      <c r="A65" s="336">
        <v>57</v>
      </c>
      <c r="B65" s="316" t="s">
        <v>739</v>
      </c>
      <c r="C65" s="66" t="s">
        <v>740</v>
      </c>
      <c r="D65" s="66" t="s">
        <v>741</v>
      </c>
      <c r="E65" s="306" t="s">
        <v>742</v>
      </c>
      <c r="F65" s="341"/>
      <c r="G65" s="3"/>
      <c r="H65" s="3" t="s">
        <v>154</v>
      </c>
      <c r="I65" s="3"/>
      <c r="J65" s="346"/>
      <c r="K65" s="342"/>
      <c r="L65" s="356"/>
      <c r="M65" s="342"/>
      <c r="N65" s="69"/>
    </row>
    <row r="66" spans="1:14" ht="58" x14ac:dyDescent="0.35">
      <c r="A66" s="336">
        <v>58</v>
      </c>
      <c r="B66" s="316" t="s">
        <v>743</v>
      </c>
      <c r="C66" s="66" t="s">
        <v>744</v>
      </c>
      <c r="D66" s="66" t="s">
        <v>745</v>
      </c>
      <c r="E66" s="306" t="s">
        <v>746</v>
      </c>
      <c r="F66" s="341"/>
      <c r="G66" s="3"/>
      <c r="H66" s="3"/>
      <c r="I66" s="3" t="s">
        <v>154</v>
      </c>
      <c r="J66" s="346"/>
      <c r="K66" s="344"/>
      <c r="L66" s="356"/>
      <c r="M66" s="342"/>
      <c r="N66" s="69"/>
    </row>
    <row r="67" spans="1:14" ht="87" x14ac:dyDescent="0.35">
      <c r="A67" s="336">
        <v>59</v>
      </c>
      <c r="B67" s="316" t="s">
        <v>747</v>
      </c>
      <c r="C67" s="66" t="s">
        <v>748</v>
      </c>
      <c r="D67" s="66" t="s">
        <v>749</v>
      </c>
      <c r="E67" s="306" t="s">
        <v>750</v>
      </c>
      <c r="F67" s="341"/>
      <c r="G67" s="3"/>
      <c r="H67" s="3"/>
      <c r="I67" s="3" t="s">
        <v>154</v>
      </c>
      <c r="J67" s="346"/>
      <c r="K67" s="344"/>
      <c r="L67" s="300"/>
      <c r="M67" s="342"/>
      <c r="N67" s="69"/>
    </row>
    <row r="68" spans="1:14" ht="18.649999999999999" customHeight="1" x14ac:dyDescent="0.35">
      <c r="A68" s="336"/>
      <c r="B68" s="316"/>
      <c r="C68" s="66"/>
      <c r="D68" s="66"/>
      <c r="E68" s="306"/>
      <c r="F68" s="341">
        <f>COUNTIF(F54:F59,"X")</f>
        <v>0</v>
      </c>
      <c r="G68" s="341">
        <f>COUNTIF(G54:G67,"X")</f>
        <v>2</v>
      </c>
      <c r="H68" s="341">
        <f>COUNTIF(H54:H67,"X")</f>
        <v>6</v>
      </c>
      <c r="I68" s="341">
        <f>COUNTIF(I54:I67,"X")</f>
        <v>6</v>
      </c>
      <c r="J68" s="346"/>
      <c r="K68" s="344"/>
      <c r="L68" s="347"/>
      <c r="M68" s="342"/>
      <c r="N68" s="69"/>
    </row>
    <row r="69" spans="1:14" ht="15" customHeight="1" x14ac:dyDescent="0.35">
      <c r="A69" s="336"/>
      <c r="B69" s="332">
        <v>8</v>
      </c>
      <c r="C69" s="516" t="s">
        <v>751</v>
      </c>
      <c r="D69" s="516"/>
      <c r="E69" s="309"/>
      <c r="F69" s="327"/>
      <c r="G69" s="456">
        <f>((F104*1)+(G104*0.5)+(H104*0))/34</f>
        <v>4.4117647058823532E-2</v>
      </c>
      <c r="H69" s="457"/>
      <c r="I69" s="458"/>
      <c r="J69" s="517"/>
      <c r="K69" s="517"/>
      <c r="L69" s="351"/>
      <c r="M69" s="334"/>
    </row>
    <row r="70" spans="1:14" ht="58" x14ac:dyDescent="0.35">
      <c r="A70" s="336">
        <v>60</v>
      </c>
      <c r="B70" s="316" t="s">
        <v>752</v>
      </c>
      <c r="C70" s="66" t="s">
        <v>753</v>
      </c>
      <c r="D70" s="66" t="s">
        <v>754</v>
      </c>
      <c r="E70" s="66" t="s">
        <v>734</v>
      </c>
      <c r="F70" s="341"/>
      <c r="G70" s="3"/>
      <c r="H70" s="3" t="s">
        <v>154</v>
      </c>
      <c r="I70" s="3"/>
      <c r="J70" s="68"/>
      <c r="K70" s="342"/>
      <c r="L70" s="301"/>
      <c r="M70" s="346"/>
    </row>
    <row r="71" spans="1:14" ht="90" customHeight="1" x14ac:dyDescent="0.35">
      <c r="A71" s="336">
        <v>61</v>
      </c>
      <c r="B71" s="316" t="s">
        <v>755</v>
      </c>
      <c r="C71" s="66" t="s">
        <v>756</v>
      </c>
      <c r="D71" s="66" t="s">
        <v>757</v>
      </c>
      <c r="E71" s="66" t="s">
        <v>758</v>
      </c>
      <c r="F71" s="341"/>
      <c r="G71" s="3"/>
      <c r="H71" s="3" t="s">
        <v>154</v>
      </c>
      <c r="I71" s="3"/>
      <c r="J71" s="68"/>
      <c r="K71" s="342"/>
      <c r="L71" s="301"/>
      <c r="M71" s="346"/>
    </row>
    <row r="72" spans="1:14" ht="90" customHeight="1" x14ac:dyDescent="0.35">
      <c r="A72" s="336">
        <v>62</v>
      </c>
      <c r="B72" s="316" t="s">
        <v>759</v>
      </c>
      <c r="C72" s="66" t="s">
        <v>760</v>
      </c>
      <c r="D72" s="66" t="s">
        <v>761</v>
      </c>
      <c r="E72" s="66" t="s">
        <v>762</v>
      </c>
      <c r="F72" s="341"/>
      <c r="G72" s="3" t="s">
        <v>154</v>
      </c>
      <c r="H72" s="3"/>
      <c r="I72" s="3"/>
      <c r="J72" s="68"/>
      <c r="K72" s="342"/>
      <c r="L72" s="301"/>
      <c r="M72" s="346"/>
    </row>
    <row r="73" spans="1:14" ht="90" customHeight="1" x14ac:dyDescent="0.35">
      <c r="A73" s="336">
        <v>63</v>
      </c>
      <c r="B73" s="316" t="s">
        <v>763</v>
      </c>
      <c r="C73" s="66" t="s">
        <v>764</v>
      </c>
      <c r="D73" s="66" t="s">
        <v>765</v>
      </c>
      <c r="E73" s="66" t="s">
        <v>766</v>
      </c>
      <c r="F73" s="341"/>
      <c r="G73" s="3"/>
      <c r="H73" s="3"/>
      <c r="I73" s="3" t="s">
        <v>154</v>
      </c>
      <c r="J73" s="68"/>
      <c r="K73" s="342"/>
      <c r="L73" s="301"/>
      <c r="M73" s="346"/>
    </row>
    <row r="74" spans="1:14" ht="112.5" customHeight="1" x14ac:dyDescent="0.35">
      <c r="A74" s="336">
        <v>64</v>
      </c>
      <c r="B74" s="316" t="s">
        <v>767</v>
      </c>
      <c r="C74" s="66" t="s">
        <v>768</v>
      </c>
      <c r="D74" s="66" t="s">
        <v>769</v>
      </c>
      <c r="E74" s="66" t="s">
        <v>770</v>
      </c>
      <c r="F74" s="341"/>
      <c r="G74" s="3" t="s">
        <v>154</v>
      </c>
      <c r="H74" s="3"/>
      <c r="I74" s="3"/>
      <c r="J74" s="68"/>
      <c r="K74" s="342"/>
      <c r="L74" s="301"/>
      <c r="M74" s="346"/>
    </row>
    <row r="75" spans="1:14" ht="90" customHeight="1" x14ac:dyDescent="0.35">
      <c r="A75" s="336">
        <v>65</v>
      </c>
      <c r="B75" s="316" t="s">
        <v>771</v>
      </c>
      <c r="C75" s="66" t="s">
        <v>772</v>
      </c>
      <c r="D75" s="66" t="s">
        <v>773</v>
      </c>
      <c r="E75" s="66" t="s">
        <v>774</v>
      </c>
      <c r="F75" s="341"/>
      <c r="G75" s="3"/>
      <c r="H75" s="3"/>
      <c r="I75" s="3" t="s">
        <v>154</v>
      </c>
      <c r="J75" s="68"/>
      <c r="K75" s="349"/>
      <c r="L75" s="68"/>
      <c r="M75" s="342"/>
    </row>
    <row r="76" spans="1:14" ht="90" customHeight="1" x14ac:dyDescent="0.35">
      <c r="A76" s="336">
        <v>66</v>
      </c>
      <c r="B76" s="316" t="s">
        <v>775</v>
      </c>
      <c r="C76" s="66" t="s">
        <v>776</v>
      </c>
      <c r="D76" s="66" t="s">
        <v>777</v>
      </c>
      <c r="E76" s="66" t="s">
        <v>778</v>
      </c>
      <c r="F76" s="341"/>
      <c r="G76" s="3"/>
      <c r="H76" s="3" t="s">
        <v>154</v>
      </c>
      <c r="I76" s="3"/>
      <c r="J76" s="68"/>
      <c r="K76" s="342"/>
      <c r="L76" s="301"/>
      <c r="M76" s="346"/>
    </row>
    <row r="77" spans="1:14" ht="90" customHeight="1" x14ac:dyDescent="0.35">
      <c r="A77" s="336">
        <v>67</v>
      </c>
      <c r="B77" s="316" t="s">
        <v>779</v>
      </c>
      <c r="C77" s="66" t="s">
        <v>780</v>
      </c>
      <c r="D77" s="66" t="s">
        <v>781</v>
      </c>
      <c r="E77" s="66" t="s">
        <v>782</v>
      </c>
      <c r="F77" s="341"/>
      <c r="G77" s="3"/>
      <c r="H77" s="3"/>
      <c r="I77" s="3" t="s">
        <v>154</v>
      </c>
      <c r="J77" s="68"/>
      <c r="K77" s="334"/>
      <c r="L77" s="301"/>
      <c r="M77" s="346"/>
    </row>
    <row r="78" spans="1:14" ht="90" customHeight="1" x14ac:dyDescent="0.35">
      <c r="A78" s="336">
        <v>68</v>
      </c>
      <c r="B78" s="316" t="s">
        <v>783</v>
      </c>
      <c r="C78" s="66" t="s">
        <v>784</v>
      </c>
      <c r="D78" s="66" t="s">
        <v>785</v>
      </c>
      <c r="E78" s="305"/>
      <c r="F78" s="341"/>
      <c r="G78" s="3"/>
      <c r="H78" s="3"/>
      <c r="I78" s="3" t="s">
        <v>154</v>
      </c>
      <c r="J78" s="68"/>
      <c r="K78" s="342"/>
      <c r="L78" s="301"/>
      <c r="M78" s="346"/>
    </row>
    <row r="79" spans="1:14" ht="88" customHeight="1" x14ac:dyDescent="0.35">
      <c r="A79" s="336">
        <v>69</v>
      </c>
      <c r="B79" s="316" t="s">
        <v>786</v>
      </c>
      <c r="C79" s="66" t="s">
        <v>787</v>
      </c>
      <c r="D79" s="66" t="s">
        <v>788</v>
      </c>
      <c r="E79" s="305"/>
      <c r="F79" s="341"/>
      <c r="G79" s="3"/>
      <c r="H79" s="3"/>
      <c r="I79" s="3" t="s">
        <v>154</v>
      </c>
      <c r="J79" s="68"/>
      <c r="K79" s="342"/>
      <c r="L79" s="301"/>
      <c r="M79" s="346"/>
    </row>
    <row r="80" spans="1:14" ht="87" x14ac:dyDescent="0.35">
      <c r="A80" s="336">
        <v>70</v>
      </c>
      <c r="B80" s="316" t="s">
        <v>789</v>
      </c>
      <c r="C80" s="66" t="s">
        <v>790</v>
      </c>
      <c r="D80" s="66" t="s">
        <v>791</v>
      </c>
      <c r="E80" s="305"/>
      <c r="F80" s="341"/>
      <c r="G80" s="3"/>
      <c r="H80" s="3"/>
      <c r="I80" s="3" t="s">
        <v>154</v>
      </c>
      <c r="J80" s="342"/>
      <c r="K80" s="342"/>
      <c r="L80" s="347"/>
      <c r="M80" s="358"/>
    </row>
    <row r="81" spans="1:13" ht="72.5" x14ac:dyDescent="0.35">
      <c r="A81" s="336">
        <v>71</v>
      </c>
      <c r="B81" s="316" t="s">
        <v>792</v>
      </c>
      <c r="C81" s="66" t="s">
        <v>793</v>
      </c>
      <c r="D81" s="66" t="s">
        <v>794</v>
      </c>
      <c r="E81" s="305"/>
      <c r="F81" s="341"/>
      <c r="G81" s="3"/>
      <c r="H81" s="3"/>
      <c r="I81" s="3" t="s">
        <v>154</v>
      </c>
      <c r="J81" s="68"/>
      <c r="K81" s="342"/>
      <c r="L81" s="301"/>
      <c r="M81" s="346"/>
    </row>
    <row r="82" spans="1:13" ht="90" customHeight="1" x14ac:dyDescent="0.35">
      <c r="A82" s="336">
        <v>72</v>
      </c>
      <c r="B82" s="316" t="s">
        <v>795</v>
      </c>
      <c r="C82" s="66" t="s">
        <v>796</v>
      </c>
      <c r="D82" s="66" t="s">
        <v>797</v>
      </c>
      <c r="E82" s="66" t="s">
        <v>798</v>
      </c>
      <c r="F82" s="341"/>
      <c r="G82" s="3"/>
      <c r="H82" s="3" t="s">
        <v>154</v>
      </c>
      <c r="I82" s="3"/>
      <c r="J82" s="338"/>
      <c r="K82" s="342"/>
      <c r="L82" s="338"/>
      <c r="M82" s="346"/>
    </row>
    <row r="83" spans="1:13" ht="58" x14ac:dyDescent="0.35">
      <c r="A83" s="336">
        <v>73</v>
      </c>
      <c r="B83" s="316" t="s">
        <v>799</v>
      </c>
      <c r="C83" s="66" t="s">
        <v>800</v>
      </c>
      <c r="D83" s="66" t="s">
        <v>801</v>
      </c>
      <c r="E83" s="66" t="s">
        <v>802</v>
      </c>
      <c r="F83" s="341"/>
      <c r="G83" s="3"/>
      <c r="H83" s="3" t="s">
        <v>154</v>
      </c>
      <c r="I83" s="3"/>
      <c r="J83" s="68"/>
      <c r="K83" s="342"/>
      <c r="L83" s="347"/>
      <c r="M83" s="346"/>
    </row>
    <row r="84" spans="1:13" ht="90" customHeight="1" x14ac:dyDescent="0.35">
      <c r="A84" s="336">
        <v>74</v>
      </c>
      <c r="B84" s="316" t="s">
        <v>803</v>
      </c>
      <c r="C84" s="66" t="s">
        <v>804</v>
      </c>
      <c r="D84" s="66" t="s">
        <v>805</v>
      </c>
      <c r="E84" s="66" t="s">
        <v>806</v>
      </c>
      <c r="F84" s="341"/>
      <c r="G84" s="3"/>
      <c r="H84" s="3"/>
      <c r="I84" s="3" t="s">
        <v>154</v>
      </c>
      <c r="J84" s="66"/>
      <c r="K84" s="334"/>
      <c r="L84" s="300"/>
      <c r="M84" s="346"/>
    </row>
    <row r="85" spans="1:13" ht="88.5" customHeight="1" x14ac:dyDescent="0.35">
      <c r="A85" s="336">
        <v>75</v>
      </c>
      <c r="B85" s="316" t="s">
        <v>807</v>
      </c>
      <c r="C85" s="66" t="s">
        <v>808</v>
      </c>
      <c r="D85" s="66" t="s">
        <v>809</v>
      </c>
      <c r="E85" s="305"/>
      <c r="F85" s="341"/>
      <c r="G85" s="3"/>
      <c r="H85" s="3"/>
      <c r="I85" s="3" t="s">
        <v>154</v>
      </c>
      <c r="J85" s="68"/>
      <c r="K85" s="342"/>
      <c r="L85" s="301"/>
      <c r="M85" s="346"/>
    </row>
    <row r="86" spans="1:13" ht="90" customHeight="1" x14ac:dyDescent="0.35">
      <c r="A86" s="336">
        <v>76</v>
      </c>
      <c r="B86" s="316" t="s">
        <v>810</v>
      </c>
      <c r="C86" s="66" t="s">
        <v>811</v>
      </c>
      <c r="D86" s="66" t="s">
        <v>812</v>
      </c>
      <c r="E86" s="66" t="s">
        <v>813</v>
      </c>
      <c r="F86" s="341"/>
      <c r="G86" s="3"/>
      <c r="H86" s="3" t="s">
        <v>154</v>
      </c>
      <c r="I86" s="3"/>
      <c r="J86" s="68"/>
      <c r="K86" s="342"/>
      <c r="L86" s="300"/>
      <c r="M86" s="346"/>
    </row>
    <row r="87" spans="1:13" ht="91.5" customHeight="1" x14ac:dyDescent="0.35">
      <c r="A87" s="336">
        <v>77</v>
      </c>
      <c r="B87" s="316" t="s">
        <v>814</v>
      </c>
      <c r="C87" s="66" t="s">
        <v>815</v>
      </c>
      <c r="D87" s="66" t="s">
        <v>816</v>
      </c>
      <c r="E87" s="68" t="s">
        <v>817</v>
      </c>
      <c r="F87" s="341"/>
      <c r="G87" s="3"/>
      <c r="H87" s="3" t="s">
        <v>154</v>
      </c>
      <c r="I87" s="3"/>
      <c r="J87" s="68"/>
      <c r="K87" s="342"/>
      <c r="L87" s="300"/>
      <c r="M87" s="346"/>
    </row>
    <row r="88" spans="1:13" ht="90" customHeight="1" x14ac:dyDescent="0.35">
      <c r="A88" s="336">
        <v>78</v>
      </c>
      <c r="B88" s="316" t="s">
        <v>818</v>
      </c>
      <c r="C88" s="66" t="s">
        <v>819</v>
      </c>
      <c r="D88" s="66" t="s">
        <v>820</v>
      </c>
      <c r="E88" s="66" t="s">
        <v>817</v>
      </c>
      <c r="F88" s="341"/>
      <c r="G88" s="3"/>
      <c r="H88" s="3" t="s">
        <v>154</v>
      </c>
      <c r="I88" s="3"/>
      <c r="J88" s="68"/>
      <c r="K88" s="342"/>
      <c r="L88" s="68"/>
      <c r="M88" s="346"/>
    </row>
    <row r="89" spans="1:13" ht="73" customHeight="1" x14ac:dyDescent="0.35">
      <c r="A89" s="336">
        <v>79</v>
      </c>
      <c r="B89" s="316" t="s">
        <v>821</v>
      </c>
      <c r="C89" s="66" t="s">
        <v>822</v>
      </c>
      <c r="D89" s="66" t="s">
        <v>823</v>
      </c>
      <c r="E89" s="66" t="s">
        <v>824</v>
      </c>
      <c r="F89" s="341"/>
      <c r="G89" s="3" t="s">
        <v>154</v>
      </c>
      <c r="H89" s="3"/>
      <c r="I89" s="3"/>
      <c r="J89" s="68"/>
      <c r="K89" s="342"/>
      <c r="L89" s="68"/>
      <c r="M89" s="346"/>
    </row>
    <row r="90" spans="1:13" ht="82" customHeight="1" x14ac:dyDescent="0.35">
      <c r="A90" s="336">
        <v>80</v>
      </c>
      <c r="B90" s="316" t="s">
        <v>825</v>
      </c>
      <c r="C90" s="66" t="s">
        <v>826</v>
      </c>
      <c r="D90" s="66" t="s">
        <v>827</v>
      </c>
      <c r="E90" s="66" t="s">
        <v>828</v>
      </c>
      <c r="F90" s="341"/>
      <c r="G90" s="3"/>
      <c r="H90" s="3" t="s">
        <v>154</v>
      </c>
      <c r="I90" s="3"/>
      <c r="J90" s="68"/>
      <c r="K90" s="66"/>
      <c r="L90" s="334"/>
      <c r="M90" s="346"/>
    </row>
    <row r="91" spans="1:13" ht="74.5" customHeight="1" x14ac:dyDescent="0.35">
      <c r="A91" s="336">
        <v>81</v>
      </c>
      <c r="B91" s="316" t="s">
        <v>829</v>
      </c>
      <c r="C91" s="66" t="s">
        <v>830</v>
      </c>
      <c r="D91" s="66" t="s">
        <v>831</v>
      </c>
      <c r="E91" s="66" t="s">
        <v>832</v>
      </c>
      <c r="F91" s="341"/>
      <c r="G91" s="3"/>
      <c r="H91" s="3" t="s">
        <v>154</v>
      </c>
      <c r="I91" s="3"/>
      <c r="J91" s="68"/>
      <c r="K91" s="342"/>
      <c r="L91" s="68"/>
      <c r="M91" s="346"/>
    </row>
    <row r="92" spans="1:13" ht="52.5" customHeight="1" x14ac:dyDescent="0.35">
      <c r="A92" s="336">
        <v>82</v>
      </c>
      <c r="B92" s="316" t="s">
        <v>833</v>
      </c>
      <c r="C92" s="66" t="s">
        <v>834</v>
      </c>
      <c r="D92" s="66" t="s">
        <v>835</v>
      </c>
      <c r="E92" s="305"/>
      <c r="F92" s="341"/>
      <c r="G92" s="3"/>
      <c r="H92" s="3" t="s">
        <v>154</v>
      </c>
      <c r="I92" s="3"/>
      <c r="J92" s="68"/>
      <c r="K92" s="342"/>
      <c r="L92" s="68"/>
      <c r="M92" s="346"/>
    </row>
    <row r="93" spans="1:13" ht="58" x14ac:dyDescent="0.35">
      <c r="A93" s="336">
        <v>83</v>
      </c>
      <c r="B93" s="316" t="s">
        <v>836</v>
      </c>
      <c r="C93" s="66" t="s">
        <v>837</v>
      </c>
      <c r="D93" s="66" t="s">
        <v>838</v>
      </c>
      <c r="E93" s="66" t="s">
        <v>839</v>
      </c>
      <c r="F93" s="341"/>
      <c r="G93" s="3"/>
      <c r="H93" s="3"/>
      <c r="I93" s="3" t="s">
        <v>154</v>
      </c>
      <c r="J93" s="68"/>
      <c r="K93" s="66"/>
      <c r="L93" s="334"/>
      <c r="M93" s="346"/>
    </row>
    <row r="94" spans="1:13" ht="43.5" x14ac:dyDescent="0.35">
      <c r="A94" s="336">
        <v>84</v>
      </c>
      <c r="B94" s="316" t="s">
        <v>840</v>
      </c>
      <c r="C94" s="66" t="s">
        <v>841</v>
      </c>
      <c r="D94" s="66" t="s">
        <v>842</v>
      </c>
      <c r="E94" s="66" t="s">
        <v>766</v>
      </c>
      <c r="F94" s="341"/>
      <c r="G94" s="3"/>
      <c r="H94" s="3"/>
      <c r="I94" s="3" t="s">
        <v>154</v>
      </c>
      <c r="J94" s="68"/>
      <c r="K94" s="342"/>
      <c r="L94" s="301"/>
      <c r="M94" s="346"/>
    </row>
    <row r="95" spans="1:13" ht="64" customHeight="1" x14ac:dyDescent="0.35">
      <c r="A95" s="336">
        <v>85</v>
      </c>
      <c r="B95" s="316" t="s">
        <v>843</v>
      </c>
      <c r="C95" s="66" t="s">
        <v>844</v>
      </c>
      <c r="D95" s="66" t="s">
        <v>845</v>
      </c>
      <c r="E95" s="66"/>
      <c r="F95" s="341"/>
      <c r="G95" s="3"/>
      <c r="H95" s="3"/>
      <c r="I95" s="3" t="s">
        <v>154</v>
      </c>
      <c r="J95" s="68"/>
      <c r="K95" s="342"/>
      <c r="L95" s="301"/>
      <c r="M95" s="346"/>
    </row>
    <row r="96" spans="1:13" ht="72.5" x14ac:dyDescent="0.35">
      <c r="A96" s="336">
        <v>86</v>
      </c>
      <c r="B96" s="316" t="s">
        <v>846</v>
      </c>
      <c r="C96" s="66" t="s">
        <v>847</v>
      </c>
      <c r="D96" s="66" t="s">
        <v>848</v>
      </c>
      <c r="E96" s="66" t="s">
        <v>849</v>
      </c>
      <c r="F96" s="341"/>
      <c r="G96" s="3"/>
      <c r="H96" s="3"/>
      <c r="I96" s="3" t="s">
        <v>154</v>
      </c>
      <c r="J96" s="68"/>
      <c r="K96" s="342"/>
      <c r="L96" s="347"/>
      <c r="M96" s="346"/>
    </row>
    <row r="97" spans="1:13" ht="43.5" x14ac:dyDescent="0.35">
      <c r="A97" s="336">
        <v>87</v>
      </c>
      <c r="B97" s="316" t="s">
        <v>850</v>
      </c>
      <c r="C97" s="66" t="s">
        <v>851</v>
      </c>
      <c r="D97" s="66" t="s">
        <v>852</v>
      </c>
      <c r="E97" s="305"/>
      <c r="F97" s="341"/>
      <c r="G97" s="3"/>
      <c r="H97" s="3"/>
      <c r="I97" s="3" t="s">
        <v>154</v>
      </c>
      <c r="J97" s="68"/>
      <c r="K97" s="342"/>
      <c r="L97" s="347"/>
      <c r="M97" s="346"/>
    </row>
    <row r="98" spans="1:13" ht="52.5" customHeight="1" x14ac:dyDescent="0.35">
      <c r="A98" s="336">
        <v>88</v>
      </c>
      <c r="B98" s="316" t="s">
        <v>853</v>
      </c>
      <c r="C98" s="66" t="s">
        <v>854</v>
      </c>
      <c r="D98" s="66" t="s">
        <v>855</v>
      </c>
      <c r="E98" s="66" t="s">
        <v>856</v>
      </c>
      <c r="F98" s="341"/>
      <c r="G98" s="3"/>
      <c r="H98" s="3"/>
      <c r="I98" s="3" t="s">
        <v>154</v>
      </c>
      <c r="J98" s="68"/>
      <c r="K98" s="342"/>
      <c r="L98" s="347"/>
      <c r="M98" s="346"/>
    </row>
    <row r="99" spans="1:13" ht="58" x14ac:dyDescent="0.35">
      <c r="A99" s="336">
        <v>89</v>
      </c>
      <c r="B99" s="316" t="s">
        <v>857</v>
      </c>
      <c r="C99" s="66" t="s">
        <v>858</v>
      </c>
      <c r="D99" s="66" t="s">
        <v>859</v>
      </c>
      <c r="E99" s="66" t="s">
        <v>860</v>
      </c>
      <c r="F99" s="341"/>
      <c r="G99" s="3"/>
      <c r="H99" s="3"/>
      <c r="I99" s="3" t="s">
        <v>154</v>
      </c>
      <c r="J99" s="68"/>
      <c r="K99" s="342"/>
      <c r="L99" s="347"/>
      <c r="M99" s="346"/>
    </row>
    <row r="100" spans="1:13" ht="58" x14ac:dyDescent="0.35">
      <c r="A100" s="336">
        <v>90</v>
      </c>
      <c r="B100" s="316" t="s">
        <v>861</v>
      </c>
      <c r="C100" s="66" t="s">
        <v>862</v>
      </c>
      <c r="D100" s="66" t="s">
        <v>863</v>
      </c>
      <c r="E100" s="66" t="s">
        <v>864</v>
      </c>
      <c r="F100" s="341"/>
      <c r="G100" s="3"/>
      <c r="H100" s="3"/>
      <c r="I100" s="3" t="s">
        <v>154</v>
      </c>
      <c r="J100" s="68"/>
      <c r="K100" s="342"/>
      <c r="L100" s="347"/>
      <c r="M100" s="346"/>
    </row>
    <row r="101" spans="1:13" ht="58" x14ac:dyDescent="0.35">
      <c r="A101" s="336">
        <v>91</v>
      </c>
      <c r="B101" s="316" t="s">
        <v>865</v>
      </c>
      <c r="C101" s="66" t="s">
        <v>866</v>
      </c>
      <c r="D101" s="66" t="s">
        <v>867</v>
      </c>
      <c r="E101" s="66" t="s">
        <v>868</v>
      </c>
      <c r="F101" s="341"/>
      <c r="G101" s="3"/>
      <c r="H101" s="3" t="s">
        <v>154</v>
      </c>
      <c r="I101" s="3"/>
      <c r="J101" s="68"/>
      <c r="K101" s="342"/>
      <c r="L101" s="301"/>
      <c r="M101" s="346"/>
    </row>
    <row r="102" spans="1:13" ht="52.5" customHeight="1" x14ac:dyDescent="0.35">
      <c r="A102" s="336">
        <v>92</v>
      </c>
      <c r="B102" s="316" t="s">
        <v>869</v>
      </c>
      <c r="C102" s="66" t="s">
        <v>870</v>
      </c>
      <c r="D102" s="66" t="s">
        <v>871</v>
      </c>
      <c r="E102" s="66" t="s">
        <v>872</v>
      </c>
      <c r="F102" s="341"/>
      <c r="G102" s="3"/>
      <c r="H102" s="3"/>
      <c r="I102" s="3" t="s">
        <v>154</v>
      </c>
      <c r="J102" s="68"/>
      <c r="K102" s="342"/>
      <c r="L102" s="347"/>
      <c r="M102" s="346"/>
    </row>
    <row r="103" spans="1:13" ht="96" customHeight="1" x14ac:dyDescent="0.35">
      <c r="A103" s="336">
        <v>93</v>
      </c>
      <c r="B103" s="316" t="s">
        <v>873</v>
      </c>
      <c r="C103" s="66" t="s">
        <v>874</v>
      </c>
      <c r="D103" s="66" t="s">
        <v>875</v>
      </c>
      <c r="E103" s="66" t="s">
        <v>856</v>
      </c>
      <c r="F103" s="341"/>
      <c r="G103" s="3"/>
      <c r="H103" s="3"/>
      <c r="I103" s="3" t="s">
        <v>154</v>
      </c>
      <c r="J103" s="68"/>
      <c r="K103" s="342"/>
      <c r="L103" s="301"/>
      <c r="M103" s="346"/>
    </row>
    <row r="104" spans="1:13" ht="19.5" customHeight="1" x14ac:dyDescent="0.35">
      <c r="A104" s="336"/>
      <c r="B104" s="316"/>
      <c r="C104" s="66"/>
      <c r="D104" s="66"/>
      <c r="E104" s="66"/>
      <c r="F104" s="345">
        <f>COUNTIF(F70:F103,"X")</f>
        <v>0</v>
      </c>
      <c r="G104" s="345">
        <f>COUNTIF(G70:G103,"X")</f>
        <v>3</v>
      </c>
      <c r="H104" s="345">
        <f>COUNTIF(H70:H103,"X")</f>
        <v>12</v>
      </c>
      <c r="I104" s="345">
        <f>COUNTIF(I70:I103,"X")</f>
        <v>19</v>
      </c>
      <c r="J104" s="68"/>
      <c r="K104" s="342"/>
      <c r="L104" s="347"/>
      <c r="M104" s="346"/>
    </row>
    <row r="105" spans="1:13" ht="15" customHeight="1" x14ac:dyDescent="0.35">
      <c r="A105" s="336"/>
      <c r="B105" s="525" t="s">
        <v>876</v>
      </c>
      <c r="C105" s="526"/>
      <c r="D105" s="526"/>
      <c r="E105" s="526"/>
      <c r="F105" s="526"/>
      <c r="G105" s="526"/>
      <c r="H105" s="526"/>
      <c r="I105" s="526"/>
      <c r="J105" s="526"/>
      <c r="K105" s="526"/>
      <c r="L105" s="527"/>
      <c r="M105" s="338"/>
    </row>
    <row r="106" spans="1:13" ht="12.75" customHeight="1" x14ac:dyDescent="0.3"/>
    <row r="108" spans="1:13" ht="15" customHeight="1" x14ac:dyDescent="0.3">
      <c r="C108" s="520" t="s">
        <v>877</v>
      </c>
      <c r="D108" s="133" t="s">
        <v>878</v>
      </c>
      <c r="E108" s="133"/>
    </row>
    <row r="109" spans="1:13" ht="15" customHeight="1" x14ac:dyDescent="0.3">
      <c r="C109" s="520"/>
      <c r="D109" s="133" t="s">
        <v>879</v>
      </c>
      <c r="E109" s="133" t="s">
        <v>880</v>
      </c>
    </row>
    <row r="110" spans="1:13" ht="31.5" x14ac:dyDescent="0.3">
      <c r="B110" s="312">
        <f>+B4</f>
        <v>5</v>
      </c>
      <c r="C110" s="133" t="s">
        <v>894</v>
      </c>
      <c r="D110" s="232">
        <f>+G4</f>
        <v>0.10810810810810811</v>
      </c>
      <c r="E110" s="232">
        <v>1</v>
      </c>
    </row>
    <row r="111" spans="1:13" ht="36.75" customHeight="1" x14ac:dyDescent="0.3">
      <c r="B111" s="312">
        <f>+B43</f>
        <v>6</v>
      </c>
      <c r="C111" s="133" t="s">
        <v>895</v>
      </c>
      <c r="D111" s="232">
        <f>+G43</f>
        <v>0.5</v>
      </c>
      <c r="E111" s="232">
        <v>1</v>
      </c>
    </row>
    <row r="112" spans="1:13" ht="35.25" customHeight="1" x14ac:dyDescent="0.3">
      <c r="B112" s="312">
        <f>+B53</f>
        <v>7</v>
      </c>
      <c r="C112" s="133" t="s">
        <v>892</v>
      </c>
      <c r="D112" s="232">
        <f>+G53</f>
        <v>7.1428571428571425E-2</v>
      </c>
      <c r="E112" s="232">
        <v>1</v>
      </c>
    </row>
    <row r="113" spans="2:5" ht="21" x14ac:dyDescent="0.3">
      <c r="B113" s="312">
        <f>+B69</f>
        <v>8</v>
      </c>
      <c r="C113" s="133" t="s">
        <v>893</v>
      </c>
      <c r="D113" s="232">
        <f>+G69</f>
        <v>4.4117647058823532E-2</v>
      </c>
      <c r="E113" s="232">
        <v>1</v>
      </c>
    </row>
    <row r="114" spans="2:5" ht="18.5" x14ac:dyDescent="0.3">
      <c r="C114" s="362" t="s">
        <v>194</v>
      </c>
      <c r="D114" s="363">
        <f>AVERAGE(D109:D113)</f>
        <v>0.18091358164887575</v>
      </c>
      <c r="E114" s="363">
        <v>1</v>
      </c>
    </row>
    <row r="116" spans="2:5" ht="15" customHeight="1" x14ac:dyDescent="0.3">
      <c r="C116" s="520" t="s">
        <v>877</v>
      </c>
      <c r="D116" s="133" t="s">
        <v>878</v>
      </c>
      <c r="E116" s="133"/>
    </row>
    <row r="117" spans="2:5" ht="15" customHeight="1" x14ac:dyDescent="0.3">
      <c r="C117" s="520"/>
      <c r="D117" s="133" t="s">
        <v>879</v>
      </c>
      <c r="E117" s="133" t="s">
        <v>880</v>
      </c>
    </row>
    <row r="118" spans="2:5" ht="40" customHeight="1" x14ac:dyDescent="0.3">
      <c r="C118" s="133" t="s">
        <v>893</v>
      </c>
      <c r="D118" s="232">
        <f>+G69</f>
        <v>4.4117647058823532E-2</v>
      </c>
      <c r="E118" s="232">
        <v>1</v>
      </c>
    </row>
    <row r="119" spans="2:5" ht="37.5" customHeight="1" x14ac:dyDescent="0.3">
      <c r="C119" s="133" t="s">
        <v>892</v>
      </c>
      <c r="D119" s="232">
        <f>+G53</f>
        <v>7.1428571428571425E-2</v>
      </c>
      <c r="E119" s="232">
        <v>1</v>
      </c>
    </row>
    <row r="120" spans="2:5" ht="35.5" customHeight="1" x14ac:dyDescent="0.3">
      <c r="C120" s="133" t="s">
        <v>895</v>
      </c>
      <c r="D120" s="232">
        <f>+G43</f>
        <v>0.5</v>
      </c>
      <c r="E120" s="232">
        <v>1</v>
      </c>
    </row>
    <row r="121" spans="2:5" ht="49.5" customHeight="1" x14ac:dyDescent="0.3">
      <c r="C121" s="133" t="s">
        <v>894</v>
      </c>
      <c r="D121" s="232">
        <f>+G4</f>
        <v>0.10810810810810811</v>
      </c>
      <c r="E121" s="232">
        <v>1</v>
      </c>
    </row>
    <row r="122" spans="2:5" ht="15" customHeight="1" x14ac:dyDescent="0.3">
      <c r="C122" s="362" t="s">
        <v>194</v>
      </c>
      <c r="D122" s="363">
        <f>AVERAGE(D117:D121)</f>
        <v>0.18091358164887578</v>
      </c>
      <c r="E122" s="363">
        <v>1</v>
      </c>
    </row>
  </sheetData>
  <sheetProtection selectLockedCells="1" selectUnlockedCells="1"/>
  <autoFilter ref="B2:L105" xr:uid="{CFE1C488-7671-40F9-AFA1-62F30E5C8406}">
    <filterColumn colId="0" showButton="0"/>
    <filterColumn colId="1" showButton="0"/>
    <filterColumn colId="4" showButton="0"/>
    <filterColumn colId="5" showButton="0"/>
    <filterColumn colId="6" showButton="0"/>
  </autoFilter>
  <mergeCells count="21">
    <mergeCell ref="C116:C117"/>
    <mergeCell ref="M2:M3"/>
    <mergeCell ref="G53:I53"/>
    <mergeCell ref="L2:L3"/>
    <mergeCell ref="C43:D43"/>
    <mergeCell ref="G43:I43"/>
    <mergeCell ref="J43:K43"/>
    <mergeCell ref="C53:D53"/>
    <mergeCell ref="J53:K53"/>
    <mergeCell ref="C108:C109"/>
    <mergeCell ref="B105:L105"/>
    <mergeCell ref="B2:D2"/>
    <mergeCell ref="F2:I2"/>
    <mergeCell ref="C3:D3"/>
    <mergeCell ref="C4:D4"/>
    <mergeCell ref="G4:I4"/>
    <mergeCell ref="C69:D69"/>
    <mergeCell ref="G69:I69"/>
    <mergeCell ref="J69:K69"/>
    <mergeCell ref="J2:J3"/>
    <mergeCell ref="K2:K3"/>
  </mergeCells>
  <phoneticPr fontId="22" type="noConversion"/>
  <conditionalFormatting sqref="I5:I10 I13:I14 I16:I20 I22:I28 I31:I41">
    <cfRule type="cellIs" dxfId="9" priority="56" stopIfTrue="1" operator="equal">
      <formula>#REF!</formula>
    </cfRule>
    <cfRule type="cellIs" dxfId="8" priority="57" stopIfTrue="1" operator="equal">
      <formula>#REF!</formula>
    </cfRule>
    <cfRule type="cellIs" dxfId="7" priority="58" stopIfTrue="1" operator="equal">
      <formula>#REF!</formula>
    </cfRule>
    <cfRule type="cellIs" dxfId="6" priority="59" stopIfTrue="1" operator="equal">
      <formula>#REF!</formula>
    </cfRule>
    <cfRule type="cellIs" dxfId="5" priority="60" stopIfTrue="1" operator="equal">
      <formula>#REF!</formula>
    </cfRule>
  </conditionalFormatting>
  <conditionalFormatting sqref="G16:G20 G22:G23">
    <cfRule type="cellIs" dxfId="4" priority="1" stopIfTrue="1" operator="equal">
      <formula>#REF!</formula>
    </cfRule>
    <cfRule type="cellIs" dxfId="3" priority="2" stopIfTrue="1" operator="equal">
      <formula>#REF!</formula>
    </cfRule>
    <cfRule type="cellIs" dxfId="2" priority="3" stopIfTrue="1" operator="equal">
      <formula>#REF!</formula>
    </cfRule>
    <cfRule type="cellIs" dxfId="1" priority="4" stopIfTrue="1" operator="equal">
      <formula>#REF!</formula>
    </cfRule>
    <cfRule type="cellIs" dxfId="0" priority="5" stopIfTrue="1" operator="equal">
      <formula>#REF!</formula>
    </cfRule>
  </conditionalFormatting>
  <dataValidations count="1">
    <dataValidation type="list" allowBlank="1" showInputMessage="1" showErrorMessage="1" sqref="F5:F11 G70:I103 G44:I51 G54:I67 G5:I6 H7:I8 G7 G9:I41" xr:uid="{30BDFFD3-48C3-48B0-8021-CD9555F9D15A}">
      <formula1>"X"</formula1>
    </dataValidation>
  </dataValidations>
  <pageMargins left="0.7" right="0.7" top="0.75" bottom="0.75" header="0.51180555555555551" footer="0.51180555555555551"/>
  <pageSetup firstPageNumber="0" orientation="portrait" horizontalDpi="300" verticalDpi="300"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8FC716-437F-4A1B-BB2A-3A515BF301DB}">
  <sheetPr codeName="Hoja12">
    <tabColor rgb="FFFFFF00"/>
  </sheetPr>
  <dimension ref="A1"/>
  <sheetViews>
    <sheetView topLeftCell="A34" zoomScale="110" zoomScaleNormal="110" workbookViewId="0">
      <selection activeCell="P38" sqref="P38"/>
    </sheetView>
  </sheetViews>
  <sheetFormatPr baseColWidth="10" defaultColWidth="11.453125" defaultRowHeight="14.5" x14ac:dyDescent="0.3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2C1AB-06CE-4A16-8262-952E90317EE9}">
  <sheetPr codeName="Hoja13">
    <tabColor rgb="FFFF0000"/>
  </sheetPr>
  <dimension ref="A1:H36"/>
  <sheetViews>
    <sheetView zoomScale="80" zoomScaleNormal="80" workbookViewId="0">
      <pane ySplit="2" topLeftCell="A3" activePane="bottomLeft" state="frozen"/>
      <selection pane="bottomLeft" activeCell="A3" sqref="A3"/>
    </sheetView>
  </sheetViews>
  <sheetFormatPr baseColWidth="10" defaultColWidth="11.453125" defaultRowHeight="14.5" x14ac:dyDescent="0.35"/>
  <cols>
    <col min="1" max="1" width="53.26953125" customWidth="1"/>
    <col min="2" max="2" width="54" customWidth="1"/>
    <col min="3" max="3" width="31.453125" customWidth="1"/>
    <col min="4" max="4" width="25.7265625" customWidth="1"/>
    <col min="5" max="5" width="18.453125" customWidth="1"/>
    <col min="6" max="6" width="19.453125" customWidth="1"/>
    <col min="7" max="7" width="19.7265625" customWidth="1"/>
    <col min="8" max="8" width="20" customWidth="1"/>
  </cols>
  <sheetData>
    <row r="1" spans="1:8" ht="19.5" customHeight="1" thickBot="1" x14ac:dyDescent="0.4">
      <c r="A1" s="534" t="s">
        <v>881</v>
      </c>
      <c r="B1" s="540" t="s">
        <v>882</v>
      </c>
      <c r="C1" s="541"/>
      <c r="D1" s="541"/>
      <c r="E1" s="541"/>
      <c r="F1" s="542"/>
      <c r="G1" s="538" t="s">
        <v>883</v>
      </c>
      <c r="H1" s="536" t="s">
        <v>884</v>
      </c>
    </row>
    <row r="2" spans="1:8" ht="29.5" thickBot="1" x14ac:dyDescent="0.4">
      <c r="A2" s="535"/>
      <c r="B2" s="4" t="s">
        <v>148</v>
      </c>
      <c r="C2" s="4" t="s">
        <v>885</v>
      </c>
      <c r="D2" s="4" t="s">
        <v>886</v>
      </c>
      <c r="E2" s="4" t="s">
        <v>887</v>
      </c>
      <c r="F2" s="8" t="s">
        <v>888</v>
      </c>
      <c r="G2" s="539"/>
      <c r="H2" s="537"/>
    </row>
    <row r="3" spans="1:8" ht="27" customHeight="1" thickBot="1" x14ac:dyDescent="0.4">
      <c r="A3" s="16" t="str">
        <f>'4 CONTEXTO'!B4</f>
        <v>4.1 CONOCIMIENTO DE LA ORGANIZACIÓN Y DE SU CONTEXTO</v>
      </c>
      <c r="B3" s="23"/>
      <c r="C3" s="23"/>
      <c r="D3" s="23"/>
      <c r="E3" s="23"/>
      <c r="F3" s="23"/>
      <c r="G3" s="23"/>
      <c r="H3" s="23"/>
    </row>
    <row r="4" spans="1:8" ht="26.5" thickBot="1" x14ac:dyDescent="0.4">
      <c r="A4" s="16" t="str">
        <f>'4 CONTEXTO'!B7</f>
        <v>4.2 COMPRENSIÓN DE LAS NECESIDADES Y EXPECTATIVAS DE LAS PARTES INTERESADAS</v>
      </c>
      <c r="B4" s="23"/>
      <c r="C4" s="23"/>
      <c r="D4" s="23"/>
      <c r="E4" s="23"/>
      <c r="F4" s="23"/>
      <c r="G4" s="23"/>
      <c r="H4" s="23"/>
    </row>
    <row r="5" spans="1:8" ht="26.5" thickBot="1" x14ac:dyDescent="0.4">
      <c r="A5" s="16" t="str">
        <f>'4 CONTEXTO'!B13</f>
        <v>4.3 DETERMINACIÓN DEL ALCANCE DEL SISTEMA DE GESTIÓN DE LA SEGURIDAD DE LA INFORMACIÓN</v>
      </c>
      <c r="B5" s="23"/>
      <c r="C5" s="23"/>
      <c r="D5" s="23"/>
      <c r="E5" s="23"/>
      <c r="F5" s="23"/>
      <c r="G5" s="23"/>
      <c r="H5" s="23"/>
    </row>
    <row r="6" spans="1:8" ht="26.5" thickBot="1" x14ac:dyDescent="0.4">
      <c r="A6" s="16" t="str">
        <f>'4 CONTEXTO'!B21</f>
        <v>4.4 SISTEMA DE GESTIÓN DE LA SEGURIDAD DE LA INFORMACIÓN</v>
      </c>
      <c r="B6" s="23"/>
      <c r="C6" s="23"/>
      <c r="D6" s="23"/>
      <c r="E6" s="23"/>
      <c r="F6" s="23"/>
      <c r="G6" s="23"/>
      <c r="H6" s="23"/>
    </row>
    <row r="7" spans="1:8" ht="39.5" thickBot="1" x14ac:dyDescent="0.4">
      <c r="A7" s="19" t="s">
        <v>889</v>
      </c>
      <c r="B7" s="23"/>
      <c r="C7" s="23"/>
      <c r="D7" s="23"/>
      <c r="E7" s="23"/>
      <c r="F7" s="23"/>
      <c r="G7" s="23"/>
      <c r="H7" s="23"/>
    </row>
    <row r="8" spans="1:8" ht="15" thickBot="1" x14ac:dyDescent="0.4">
      <c r="A8" s="10" t="s">
        <v>222</v>
      </c>
      <c r="B8" s="23"/>
      <c r="C8" s="23"/>
      <c r="D8" s="23"/>
      <c r="E8" s="23"/>
      <c r="F8" s="23"/>
      <c r="G8" s="23"/>
      <c r="H8" s="23"/>
    </row>
    <row r="9" spans="1:8" ht="26.5" thickBot="1" x14ac:dyDescent="0.4">
      <c r="A9" s="20" t="s">
        <v>238</v>
      </c>
      <c r="B9" s="23"/>
      <c r="C9" s="23"/>
      <c r="D9" s="23"/>
      <c r="E9" s="23"/>
      <c r="F9" s="23"/>
      <c r="G9" s="23"/>
      <c r="H9" s="23"/>
    </row>
    <row r="10" spans="1:8" ht="15" thickBot="1" x14ac:dyDescent="0.4">
      <c r="A10" s="21" t="str">
        <f>'6 PLANIFICACIÓN'!B3</f>
        <v>6.PLANIFICACIÓN</v>
      </c>
      <c r="B10" s="23"/>
      <c r="C10" s="23"/>
      <c r="D10" s="23"/>
      <c r="E10" s="23"/>
      <c r="F10" s="23"/>
      <c r="G10" s="23"/>
      <c r="H10" s="23"/>
    </row>
    <row r="11" spans="1:8" ht="26.25" customHeight="1" thickBot="1" x14ac:dyDescent="0.4">
      <c r="A11" s="9" t="str">
        <f>'6 PLANIFICACIÓN'!B4</f>
        <v>6.1 ACCIONES PARA ABORDAR RIESGOS Y OPORTUNIDADES</v>
      </c>
      <c r="B11" s="23"/>
      <c r="C11" s="23"/>
      <c r="D11" s="23"/>
      <c r="E11" s="23"/>
      <c r="F11" s="23"/>
      <c r="G11" s="23"/>
      <c r="H11" s="23"/>
    </row>
    <row r="12" spans="1:8" ht="35.25" customHeight="1" thickBot="1" x14ac:dyDescent="0.4">
      <c r="A12" s="9" t="str">
        <f>'6 PLANIFICACIÓN'!B5</f>
        <v xml:space="preserve">6.1.1 Generalidades  </v>
      </c>
      <c r="B12" s="23"/>
      <c r="C12" s="23"/>
      <c r="D12" s="23"/>
      <c r="E12" s="23"/>
      <c r="F12" s="23"/>
      <c r="G12" s="23"/>
      <c r="H12" s="23"/>
    </row>
    <row r="13" spans="1:8" ht="34.5" customHeight="1" thickBot="1" x14ac:dyDescent="0.4">
      <c r="A13" s="9" t="str">
        <f>'6 PLANIFICACIÓN'!B14</f>
        <v>6.1.2 Apreciación de riesgos de la seguridad de la información</v>
      </c>
      <c r="B13" s="23"/>
      <c r="C13" s="23"/>
      <c r="D13" s="23"/>
      <c r="E13" s="23"/>
      <c r="F13" s="23"/>
      <c r="G13" s="23"/>
      <c r="H13" s="23"/>
    </row>
    <row r="14" spans="1:8" ht="26.5" thickBot="1" x14ac:dyDescent="0.4">
      <c r="A14" s="9" t="str">
        <f>'6 PLANIFICACIÓN'!B23</f>
        <v>6.1.3 Tratamiento de riesgos de la seguridad de la información</v>
      </c>
      <c r="B14" s="23"/>
      <c r="C14" s="23"/>
      <c r="D14" s="23"/>
      <c r="E14" s="23"/>
      <c r="F14" s="23"/>
      <c r="G14" s="23"/>
      <c r="H14" s="23"/>
    </row>
    <row r="15" spans="1:8" ht="33.75" customHeight="1" thickBot="1" x14ac:dyDescent="0.4">
      <c r="A15" s="9" t="str">
        <f>'6 PLANIFICACIÓN'!B34</f>
        <v>6.2 OBJETIVOS DE SEGURIDAD DE LA INFORMACIÓN Y LA PLANIFICACIÓN PARA ALCANZARLOS</v>
      </c>
      <c r="B15" s="33"/>
      <c r="C15" s="23"/>
      <c r="D15" s="23"/>
      <c r="E15" s="23"/>
      <c r="F15" s="23"/>
      <c r="G15" s="23"/>
      <c r="H15" s="23"/>
    </row>
    <row r="16" spans="1:8" ht="15" thickBot="1" x14ac:dyDescent="0.4">
      <c r="A16" s="11" t="str">
        <f>'7 SOPORTE'!B4</f>
        <v>7.1 RECURSOS</v>
      </c>
      <c r="B16" s="33"/>
      <c r="C16" s="23"/>
      <c r="D16" s="23"/>
      <c r="E16" s="23"/>
      <c r="F16" s="23"/>
      <c r="G16" s="23"/>
      <c r="H16" s="23"/>
    </row>
    <row r="17" spans="1:8" ht="15.75" customHeight="1" thickBot="1" x14ac:dyDescent="0.4">
      <c r="A17" s="11" t="str">
        <f>'7 SOPORTE'!B11</f>
        <v>7.2 COMPETENCIA</v>
      </c>
      <c r="B17" s="33"/>
      <c r="C17" s="23"/>
      <c r="D17" s="23"/>
      <c r="E17" s="23"/>
      <c r="F17" s="23"/>
      <c r="G17" s="23"/>
      <c r="H17" s="23"/>
    </row>
    <row r="18" spans="1:8" ht="15" thickBot="1" x14ac:dyDescent="0.4">
      <c r="A18" s="11" t="str">
        <f>'7 SOPORTE'!B19</f>
        <v>7.3 TOMA DE CONCIENCIA</v>
      </c>
      <c r="B18" s="33"/>
      <c r="C18" s="23"/>
      <c r="D18" s="23"/>
      <c r="E18" s="23"/>
      <c r="F18" s="23"/>
      <c r="G18" s="23"/>
      <c r="H18" s="23"/>
    </row>
    <row r="19" spans="1:8" ht="15.75" customHeight="1" thickBot="1" x14ac:dyDescent="0.4">
      <c r="A19" s="11" t="str">
        <f>'7 SOPORTE'!B25</f>
        <v>7.4 COMUNICACIÓN</v>
      </c>
      <c r="B19" s="34"/>
      <c r="C19" s="32"/>
      <c r="D19" s="32"/>
      <c r="E19" s="32"/>
      <c r="F19" s="32"/>
      <c r="G19" s="32"/>
      <c r="H19" s="32"/>
    </row>
    <row r="20" spans="1:8" ht="27" customHeight="1" thickBot="1" x14ac:dyDescent="0.4">
      <c r="A20" s="35" t="str">
        <f>'7 SOPORTE'!B33</f>
        <v>7.5 INFORMACIÓN DOCUMENTADA</v>
      </c>
      <c r="B20" s="34"/>
      <c r="C20" s="32"/>
      <c r="D20" s="32"/>
      <c r="E20" s="32"/>
      <c r="F20" s="32"/>
      <c r="G20" s="32"/>
      <c r="H20" s="32"/>
    </row>
    <row r="21" spans="1:8" ht="15.75" customHeight="1" thickBot="1" x14ac:dyDescent="0.4">
      <c r="A21" s="31" t="str">
        <f>'7 SOPORTE'!B34</f>
        <v>7.5.1 Generalidades
El sistema de gestión de la seguridad de la información de la organización debe incluir:</v>
      </c>
      <c r="B21" s="34"/>
      <c r="C21" s="23"/>
      <c r="D21" s="23"/>
      <c r="E21" s="23"/>
      <c r="F21" s="23"/>
      <c r="G21" s="23"/>
      <c r="H21" s="23"/>
    </row>
    <row r="22" spans="1:8" ht="15" thickBot="1" x14ac:dyDescent="0.4">
      <c r="A22" s="12" t="str">
        <f>'7 SOPORTE'!B39</f>
        <v>7.5.2 Creación y actualización</v>
      </c>
      <c r="B22" s="17"/>
      <c r="C22" s="17"/>
      <c r="D22" s="17"/>
      <c r="E22" s="17"/>
      <c r="F22" s="17"/>
      <c r="G22" s="17"/>
      <c r="H22" s="17"/>
    </row>
    <row r="23" spans="1:8" ht="15" customHeight="1" thickBot="1" x14ac:dyDescent="0.4">
      <c r="A23" s="11" t="str">
        <f>'7 SOPORTE'!B45</f>
        <v>7.5.3 Control de la información documentada</v>
      </c>
      <c r="B23" s="18"/>
      <c r="C23" s="18"/>
      <c r="D23" s="18"/>
      <c r="E23" s="18"/>
      <c r="F23" s="18"/>
      <c r="G23" s="18"/>
      <c r="H23" s="18"/>
    </row>
    <row r="24" spans="1:8" ht="15" thickBot="1" x14ac:dyDescent="0.4">
      <c r="A24" s="22" t="str">
        <f>'8 OPERACIÓN'!B3</f>
        <v>8. OPERACIÓN</v>
      </c>
      <c r="B24" s="17"/>
      <c r="C24" s="17"/>
      <c r="D24" s="17"/>
      <c r="E24" s="17"/>
      <c r="F24" s="17"/>
      <c r="G24" s="17"/>
      <c r="H24" s="17"/>
    </row>
    <row r="25" spans="1:8" ht="15" thickBot="1" x14ac:dyDescent="0.4">
      <c r="A25" s="22" t="str">
        <f>'8 OPERACIÓN'!B4</f>
        <v>8.1 PLANIFICACIÓN Y CONTROL OPERACIONAL</v>
      </c>
      <c r="B25" s="17"/>
      <c r="C25" s="17"/>
      <c r="D25" s="17"/>
      <c r="E25" s="17"/>
      <c r="F25" s="17"/>
      <c r="G25" s="17"/>
      <c r="H25" s="17"/>
    </row>
    <row r="26" spans="1:8" ht="31.5" customHeight="1" thickBot="1" x14ac:dyDescent="0.4">
      <c r="A26" s="22" t="str">
        <f>'8 OPERACIÓN'!B10</f>
        <v>8.2 VALORACIÓN DE RIESGOS DE LA SEGURIDAD DE LA INFORMACIÓN</v>
      </c>
      <c r="B26" s="17"/>
      <c r="C26" s="17"/>
      <c r="D26" s="17"/>
      <c r="E26" s="17"/>
      <c r="F26" s="17"/>
      <c r="G26" s="17"/>
      <c r="H26" s="17"/>
    </row>
    <row r="27" spans="1:8" ht="42.75" customHeight="1" thickBot="1" x14ac:dyDescent="0.4">
      <c r="A27" s="30" t="str">
        <f>'8 OPERACIÓN'!B15</f>
        <v xml:space="preserve">8.3 TRATAMIENTO DE RIESGOS DE LA SEGURIDAD DE LA INFORMACIÓN
</v>
      </c>
      <c r="B27" s="17"/>
      <c r="C27" s="17"/>
      <c r="D27" s="17"/>
      <c r="E27" s="17"/>
      <c r="F27" s="17"/>
      <c r="G27" s="17"/>
      <c r="H27" s="17"/>
    </row>
    <row r="28" spans="1:8" ht="15" thickBot="1" x14ac:dyDescent="0.4">
      <c r="A28" s="14" t="str">
        <f>'9 EVALUACIÓN DESEMPEÑO'!B3</f>
        <v>9 EVALUACIÓN DEL DESEMPEÑO</v>
      </c>
      <c r="B28" s="23"/>
      <c r="C28" s="23"/>
      <c r="D28" s="23"/>
      <c r="E28" s="23"/>
      <c r="F28" s="23"/>
      <c r="G28" s="23"/>
      <c r="H28" s="23"/>
    </row>
    <row r="29" spans="1:8" ht="15" thickBot="1" x14ac:dyDescent="0.4">
      <c r="A29" s="13" t="str">
        <f>'9 EVALUACIÓN DESEMPEÑO'!B4</f>
        <v>9.1 MONITOREO, MEDICIÓN, ANALISIS Y EVALUACIÓN</v>
      </c>
      <c r="B29" s="23"/>
      <c r="C29" s="23"/>
      <c r="D29" s="23"/>
      <c r="E29" s="23"/>
      <c r="F29" s="23"/>
      <c r="G29" s="23"/>
      <c r="H29" s="23"/>
    </row>
    <row r="30" spans="1:8" ht="15" thickBot="1" x14ac:dyDescent="0.4">
      <c r="A30" s="15" t="str">
        <f>'9 EVALUACIÓN DESEMPEÑO'!B14</f>
        <v>9.2 AUDITORÍA INTERNA</v>
      </c>
      <c r="B30" s="23"/>
      <c r="C30" s="23"/>
      <c r="D30" s="23"/>
      <c r="E30" s="23"/>
      <c r="F30" s="23"/>
      <c r="G30" s="23"/>
      <c r="H30" s="23"/>
    </row>
    <row r="31" spans="1:8" ht="15" thickBot="1" x14ac:dyDescent="0.4">
      <c r="A31" s="15" t="str">
        <f>'9 EVALUACIÓN DESEMPEÑO'!B27</f>
        <v>9.3 REVISIÓN POR LA DIRECCIÓN</v>
      </c>
      <c r="B31" s="23"/>
      <c r="C31" s="23"/>
      <c r="D31" s="23"/>
      <c r="E31" s="23"/>
      <c r="F31" s="23"/>
      <c r="G31" s="23"/>
      <c r="H31" s="23"/>
    </row>
    <row r="32" spans="1:8" ht="15" thickBot="1" x14ac:dyDescent="0.4">
      <c r="A32" s="26" t="str">
        <f>'10 MEJORA'!$B$3</f>
        <v>10. MEJORA</v>
      </c>
      <c r="B32" s="23"/>
      <c r="C32" s="23"/>
      <c r="D32" s="23"/>
      <c r="E32" s="23"/>
      <c r="F32" s="23"/>
      <c r="G32" s="23"/>
      <c r="H32" s="23"/>
    </row>
    <row r="33" spans="1:8" ht="15" thickBot="1" x14ac:dyDescent="0.4">
      <c r="A33" s="27" t="str">
        <f>'10 MEJORA'!$B$7</f>
        <v>10.2 NO CONFORMIDAD Y ACCIÓN CORRECTIVA</v>
      </c>
      <c r="B33" s="23"/>
      <c r="C33" s="23"/>
      <c r="D33" s="23"/>
      <c r="E33" s="23"/>
      <c r="F33" s="23"/>
      <c r="G33" s="23"/>
      <c r="H33" s="23"/>
    </row>
    <row r="34" spans="1:8" ht="15" thickBot="1" x14ac:dyDescent="0.4">
      <c r="A34" s="27" t="str">
        <f>'10 MEJORA'!$B$4</f>
        <v>10.1 MEJORA CONTINUA</v>
      </c>
      <c r="B34" s="23"/>
      <c r="C34" s="23"/>
      <c r="D34" s="23"/>
      <c r="E34" s="23"/>
      <c r="F34" s="23"/>
      <c r="G34" s="23"/>
      <c r="H34" s="23"/>
    </row>
    <row r="35" spans="1:8" ht="15" thickBot="1" x14ac:dyDescent="0.4">
      <c r="A35" s="27" t="s">
        <v>431</v>
      </c>
      <c r="B35" s="23"/>
      <c r="C35" s="23"/>
      <c r="D35" s="23"/>
      <c r="E35" s="23"/>
      <c r="F35" s="23"/>
      <c r="G35" s="23"/>
      <c r="H35" s="23"/>
    </row>
    <row r="36" spans="1:8" ht="15" thickBot="1" x14ac:dyDescent="0.4">
      <c r="A36" s="28"/>
      <c r="B36" s="23"/>
      <c r="C36" s="23"/>
      <c r="D36" s="23"/>
      <c r="E36" s="23"/>
      <c r="F36" s="23"/>
      <c r="G36" s="23"/>
      <c r="H36" s="23"/>
    </row>
  </sheetData>
  <mergeCells count="4">
    <mergeCell ref="A1:A2"/>
    <mergeCell ref="H1:H2"/>
    <mergeCell ref="G1:G2"/>
    <mergeCell ref="B1:F1"/>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a690459-9b37-4f57-9b4d-a3049229574d">
      <Terms xmlns="http://schemas.microsoft.com/office/infopath/2007/PartnerControls"/>
    </lcf76f155ced4ddcb4097134ff3c332f>
    <TaxCatchAll xmlns="95660f0d-66d5-4900-9f19-9e270740a80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DC27801F27B5A42B184B2108C137D62" ma:contentTypeVersion="13" ma:contentTypeDescription="Create a new document." ma:contentTypeScope="" ma:versionID="462215d56947667045fb7ed246e5a63d">
  <xsd:schema xmlns:xsd="http://www.w3.org/2001/XMLSchema" xmlns:xs="http://www.w3.org/2001/XMLSchema" xmlns:p="http://schemas.microsoft.com/office/2006/metadata/properties" xmlns:ns2="ca690459-9b37-4f57-9b4d-a3049229574d" xmlns:ns3="95660f0d-66d5-4900-9f19-9e270740a800" targetNamespace="http://schemas.microsoft.com/office/2006/metadata/properties" ma:root="true" ma:fieldsID="8ac5362f005ddaf3e08bdbb4561eca5c" ns2:_="" ns3:_="">
    <xsd:import namespace="ca690459-9b37-4f57-9b4d-a3049229574d"/>
    <xsd:import namespace="95660f0d-66d5-4900-9f19-9e270740a800"/>
    <xsd:element name="properties">
      <xsd:complexType>
        <xsd:sequence>
          <xsd:element name="documentManagement">
            <xsd:complexType>
              <xsd:all>
                <xsd:element ref="ns2:MediaServiceSearchProperties" minOccurs="0"/>
                <xsd:element ref="ns2:MediaServiceObjectDetectorVersions" minOccurs="0"/>
                <xsd:element ref="ns2:MediaServiceOCR"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a690459-9b37-4f57-9b4d-a3049229574d" elementFormDefault="qualified">
    <xsd:import namespace="http://schemas.microsoft.com/office/2006/documentManagement/types"/>
    <xsd:import namespace="http://schemas.microsoft.com/office/infopath/2007/PartnerControls"/>
    <xsd:element name="MediaServiceSearchProperties" ma:index="8" nillable="true" ma:displayName="MediaServiceSearchProperties" ma:hidden="true" ma:internalName="MediaServiceSearchProperties" ma:readOnly="true">
      <xsd:simpleType>
        <xsd:restriction base="dms:Note"/>
      </xsd:simpleType>
    </xsd:element>
    <xsd:element name="MediaServiceObjectDetectorVersions" ma:index="9" nillable="true" ma:displayName="MediaServiceObjectDetectorVersions" ma:hidden="true" ma:indexed="true" ma:internalName="MediaServiceObjectDetectorVersions" ma:readOnly="true">
      <xsd:simpleType>
        <xsd:restriction base="dms:Text"/>
      </xsd:simpleType>
    </xsd:element>
    <xsd:element name="MediaServiceOCR" ma:index="10" nillable="true" ma:displayName="Extracted Text" ma:internalName="MediaServiceOCR" ma:readOnly="true">
      <xsd:simpleType>
        <xsd:restriction base="dms:Note">
          <xsd:maxLength value="255"/>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35743a96-216b-4731-9b6c-79f46eacab79"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95660f0d-66d5-4900-9f19-9e270740a800"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6347340-b61d-4614-bd6d-82c51bdacea0}" ma:internalName="TaxCatchAll" ma:showField="CatchAllData" ma:web="95660f0d-66d5-4900-9f19-9e270740a80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195C74C-6BAA-4EB8-BC17-65E10578BCFE}">
  <ds:schemaRefs>
    <ds:schemaRef ds:uri="95660f0d-66d5-4900-9f19-9e270740a800"/>
    <ds:schemaRef ds:uri="ca690459-9b37-4f57-9b4d-a3049229574d"/>
    <ds:schemaRef ds:uri="http://schemas.microsoft.com/office/2006/documentManagement/types"/>
    <ds:schemaRef ds:uri="http://purl.org/dc/dcmitype/"/>
    <ds:schemaRef ds:uri="http://schemas.openxmlformats.org/package/2006/metadata/core-properties"/>
    <ds:schemaRef ds:uri="http://schemas.microsoft.com/office/2006/metadata/properties"/>
    <ds:schemaRef ds:uri="http://purl.org/dc/elements/1.1/"/>
    <ds:schemaRef ds:uri="http://schemas.microsoft.com/office/infopath/2007/PartnerControls"/>
    <ds:schemaRef ds:uri="http://www.w3.org/XML/1998/namespace"/>
    <ds:schemaRef ds:uri="http://purl.org/dc/terms/"/>
  </ds:schemaRefs>
</ds:datastoreItem>
</file>

<file path=customXml/itemProps2.xml><?xml version="1.0" encoding="utf-8"?>
<ds:datastoreItem xmlns:ds="http://schemas.openxmlformats.org/officeDocument/2006/customXml" ds:itemID="{3C0423FE-BEAA-4F24-BED7-2A5B54C12E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a690459-9b37-4f57-9b4d-a3049229574d"/>
    <ds:schemaRef ds:uri="95660f0d-66d5-4900-9f19-9e270740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2827265-A8A7-4AD9-BAC4-09429AE6C92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DocSecurity>0</DocSecurity>
  <ScaleCrop>false</ScaleCrop>
  <HeadingPairs>
    <vt:vector size="4" baseType="variant">
      <vt:variant>
        <vt:lpstr>Hojas de cálculo</vt:lpstr>
      </vt:variant>
      <vt:variant>
        <vt:i4>13</vt:i4>
      </vt:variant>
      <vt:variant>
        <vt:lpstr>Rangos con nombre</vt:lpstr>
      </vt:variant>
      <vt:variant>
        <vt:i4>8</vt:i4>
      </vt:variant>
    </vt:vector>
  </HeadingPairs>
  <TitlesOfParts>
    <vt:vector size="21" baseType="lpstr">
      <vt:lpstr>Plan_seguridad</vt:lpstr>
      <vt:lpstr>Introducción</vt:lpstr>
      <vt:lpstr>4 CONTEXTO</vt:lpstr>
      <vt:lpstr>5 LIDERAZGO</vt:lpstr>
      <vt:lpstr>6 PLANIFICACIÓN</vt:lpstr>
      <vt:lpstr>7 SOPORTE</vt:lpstr>
      <vt:lpstr>8 OPERACIÓN</vt:lpstr>
      <vt:lpstr>RESUMEN CONSOLIDADO</vt:lpstr>
      <vt:lpstr>9 EVALUACIÓN DESEMPEÑO</vt:lpstr>
      <vt:lpstr>10 MEJORA</vt:lpstr>
      <vt:lpstr>Anexo A</vt:lpstr>
      <vt:lpstr>RESUMEN POR CAPÍTULO</vt:lpstr>
      <vt:lpstr>PLAN DE ACCIÓN</vt:lpstr>
      <vt:lpstr>'10 MEJORA'!Área_de_impresión</vt:lpstr>
      <vt:lpstr>'4 CONTEXTO'!Área_de_impresión</vt:lpstr>
      <vt:lpstr>'5 LIDERAZGO'!Área_de_impresión</vt:lpstr>
      <vt:lpstr>'6 PLANIFICACIÓN'!Área_de_impresión</vt:lpstr>
      <vt:lpstr>'7 SOPORTE'!Área_de_impresión</vt:lpstr>
      <vt:lpstr>'8 OPERACIÓN'!Área_de_impresión</vt:lpstr>
      <vt:lpstr>'9 EVALUACIÓN DESEMPEÑO'!Área_de_impresión</vt:lpstr>
      <vt:lpstr>'4 CONTEXTO'!Títulos_a_imprimir</vt:lpstr>
    </vt:vector>
  </TitlesOfParts>
  <Manager/>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Alejandro Narvaez Gil</dc:creator>
  <cp:keywords/>
  <dc:description/>
  <cp:lastModifiedBy>Diego Alejandro Narvaez Gil</cp:lastModifiedBy>
  <cp:revision/>
  <dcterms:created xsi:type="dcterms:W3CDTF">2015-01-27T19:45:44Z</dcterms:created>
  <dcterms:modified xsi:type="dcterms:W3CDTF">2026-05-08T16:19:17Z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0x010100CDC27801F27B5A42B184B2108C137D62</vt:lpwstr>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ies>
</file>